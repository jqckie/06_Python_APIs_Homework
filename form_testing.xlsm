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chj\Desktop\"/>
    </mc:Choice>
  </mc:AlternateContent>
  <xr:revisionPtr revIDLastSave="0" documentId="13_ncr:1_{80C57526-9FC1-4E23-9FBC-D814CB39F058}" xr6:coauthVersionLast="36" xr6:coauthVersionMax="36" xr10:uidLastSave="{00000000-0000-0000-0000-000000000000}"/>
  <bookViews>
    <workbookView xWindow="0" yWindow="0" windowWidth="26775" windowHeight="10140" tabRatio="809" xr2:uid="{00000000-000D-0000-FFFF-FFFF00000000}"/>
  </bookViews>
  <sheets>
    <sheet name="Sheet1" sheetId="2" r:id="rId1"/>
    <sheet name="Sheet2" sheetId="7" r:id="rId2"/>
    <sheet name="Sheet3" sheetId="10" r:id="rId3"/>
    <sheet name="Sheet4" sheetId="11" r:id="rId4"/>
    <sheet name="Sheet5" sheetId="6" r:id="rId5"/>
    <sheet name="Pet_Data" sheetId="8" r:id="rId6"/>
    <sheet name="Pet_Charts" sheetId="9" r:id="rId7"/>
  </sheets>
  <functionGroups builtInGroupCount="19"/>
  <definedNames>
    <definedName name="another_test">OFFSET(#REF!,0,0,COUNTA(#REF!),COUNTA(#REF!))</definedName>
    <definedName name="test_table">OFFSET(#REF!,1,0,COUNTA(#REF!)-1)</definedName>
  </definedNames>
  <calcPr calcId="191029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" i="8" l="1"/>
  <c r="F2" i="8"/>
  <c r="E3" i="8"/>
  <c r="F3" i="8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E20" i="8"/>
  <c r="F20" i="8"/>
  <c r="E21" i="8"/>
  <c r="F21" i="8"/>
  <c r="E22" i="8"/>
  <c r="F22" i="8"/>
  <c r="E23" i="8"/>
  <c r="F23" i="8"/>
  <c r="E24" i="8"/>
  <c r="F24" i="8"/>
  <c r="E25" i="8"/>
  <c r="F25" i="8"/>
  <c r="E26" i="8"/>
  <c r="F26" i="8"/>
  <c r="E27" i="8"/>
  <c r="F27" i="8"/>
  <c r="E28" i="8"/>
  <c r="F28" i="8"/>
  <c r="E29" i="8"/>
  <c r="F29" i="8"/>
  <c r="E30" i="8"/>
  <c r="F30" i="8"/>
  <c r="E31" i="8"/>
  <c r="F31" i="8"/>
  <c r="P9" i="2" l="1"/>
  <c r="Q9" i="2"/>
  <c r="Q13" i="2" l="1"/>
  <c r="P8" i="2" l="1"/>
  <c r="Q8" i="2"/>
  <c r="P7" i="2"/>
  <c r="Q7" i="2"/>
  <c r="Q2" i="2"/>
  <c r="Q3" i="2"/>
  <c r="Q4" i="2"/>
  <c r="Q5" i="2"/>
  <c r="Q6" i="2"/>
  <c r="P2" i="2"/>
  <c r="P3" i="2"/>
  <c r="P4" i="2"/>
  <c r="P5" i="2"/>
  <c r="P6" i="2"/>
</calcChain>
</file>

<file path=xl/sharedStrings.xml><?xml version="1.0" encoding="utf-8"?>
<sst xmlns="http://schemas.openxmlformats.org/spreadsheetml/2006/main" count="265" uniqueCount="153">
  <si>
    <t>Manager</t>
  </si>
  <si>
    <t>No</t>
  </si>
  <si>
    <t>ee_title</t>
  </si>
  <si>
    <t>ee_first_name</t>
  </si>
  <si>
    <t>ee_last_name</t>
  </si>
  <si>
    <t>ee_dob</t>
  </si>
  <si>
    <t>ee_location</t>
  </si>
  <si>
    <t>ee_doh</t>
  </si>
  <si>
    <t>ee_dept</t>
  </si>
  <si>
    <t>ee_position</t>
  </si>
  <si>
    <t>ee_1099_status</t>
  </si>
  <si>
    <t>ee_sports</t>
  </si>
  <si>
    <t>ee_animals</t>
  </si>
  <si>
    <t>ee_hobbies</t>
  </si>
  <si>
    <t>ee_color</t>
  </si>
  <si>
    <t>ee_cuisine</t>
  </si>
  <si>
    <t>ee_season</t>
  </si>
  <si>
    <t>Mr.</t>
  </si>
  <si>
    <t>Field</t>
  </si>
  <si>
    <t>Fall</t>
  </si>
  <si>
    <t>Winter</t>
  </si>
  <si>
    <t>Mrs.</t>
  </si>
  <si>
    <t>Administrative</t>
  </si>
  <si>
    <t>Adjuster</t>
  </si>
  <si>
    <t>Clerk</t>
  </si>
  <si>
    <t>Baseball</t>
  </si>
  <si>
    <t>Foxes</t>
  </si>
  <si>
    <t>Boating</t>
  </si>
  <si>
    <t>Red</t>
  </si>
  <si>
    <t>Italian</t>
  </si>
  <si>
    <t>Joe</t>
  </si>
  <si>
    <t>Smith</t>
  </si>
  <si>
    <t>Jane</t>
  </si>
  <si>
    <t>Doe</t>
  </si>
  <si>
    <t>Tennis</t>
  </si>
  <si>
    <t>Rabbits</t>
  </si>
  <si>
    <t>Crochet</t>
  </si>
  <si>
    <t>Purple</t>
  </si>
  <si>
    <t>Tex-Mex</t>
  </si>
  <si>
    <t>Dr.</t>
  </si>
  <si>
    <t>Robin</t>
  </si>
  <si>
    <t>Johnson</t>
  </si>
  <si>
    <t>Operations</t>
  </si>
  <si>
    <t>Badminton</t>
  </si>
  <si>
    <t>Penguins</t>
  </si>
  <si>
    <t>Geocaching</t>
  </si>
  <si>
    <t>Green</t>
  </si>
  <si>
    <t>Sushi</t>
  </si>
  <si>
    <t>Summer</t>
  </si>
  <si>
    <t>Miss.</t>
  </si>
  <si>
    <t>Banana</t>
  </si>
  <si>
    <t>Legal</t>
  </si>
  <si>
    <t>Investigator</t>
  </si>
  <si>
    <t>n/a</t>
  </si>
  <si>
    <t>Bears</t>
  </si>
  <si>
    <t>Pottery</t>
  </si>
  <si>
    <t>Orange</t>
  </si>
  <si>
    <t>Soylent Green</t>
  </si>
  <si>
    <t>Ms.</t>
  </si>
  <si>
    <t>Amy</t>
  </si>
  <si>
    <t>Lane</t>
  </si>
  <si>
    <t>New York, NY</t>
  </si>
  <si>
    <t>HR</t>
  </si>
  <si>
    <t>Generalist</t>
  </si>
  <si>
    <t>Jousting</t>
  </si>
  <si>
    <t>Horses</t>
  </si>
  <si>
    <t>Yoga</t>
  </si>
  <si>
    <t>Pink</t>
  </si>
  <si>
    <t>American</t>
  </si>
  <si>
    <t>Spring</t>
  </si>
  <si>
    <t>ee_age</t>
  </si>
  <si>
    <t>ee_tenure</t>
  </si>
  <si>
    <t>Los Angeles, CA</t>
  </si>
  <si>
    <t>Diane</t>
  </si>
  <si>
    <t>Prince</t>
  </si>
  <si>
    <t>Training</t>
  </si>
  <si>
    <t>Facilitator</t>
  </si>
  <si>
    <t>Track</t>
  </si>
  <si>
    <t>Cats</t>
  </si>
  <si>
    <t>Sewing</t>
  </si>
  <si>
    <t>Lara</t>
  </si>
  <si>
    <t>Defense Counsel</t>
  </si>
  <si>
    <t>Ducks</t>
  </si>
  <si>
    <t>Kayaking</t>
  </si>
  <si>
    <t>Brown</t>
  </si>
  <si>
    <t>Indian</t>
  </si>
  <si>
    <t>Grand Total</t>
  </si>
  <si>
    <t>Count of ee_animals</t>
  </si>
  <si>
    <t>Alba</t>
  </si>
  <si>
    <t>jon</t>
  </si>
  <si>
    <t>snow</t>
  </si>
  <si>
    <t>Aegon</t>
  </si>
  <si>
    <t>Knowing nothing</t>
  </si>
  <si>
    <t>black</t>
  </si>
  <si>
    <t>M</t>
  </si>
  <si>
    <t>Horse</t>
  </si>
  <si>
    <t>Colin</t>
  </si>
  <si>
    <t>F</t>
  </si>
  <si>
    <t>Cat</t>
  </si>
  <si>
    <t>Grizz</t>
  </si>
  <si>
    <t>Dog</t>
  </si>
  <si>
    <t>Champ</t>
  </si>
  <si>
    <t>Jemma</t>
  </si>
  <si>
    <t>Ferret</t>
  </si>
  <si>
    <t>Slippy</t>
  </si>
  <si>
    <t>Snake</t>
  </si>
  <si>
    <t>Danger Noodle</t>
  </si>
  <si>
    <t>Max</t>
  </si>
  <si>
    <t>Sneaker</t>
  </si>
  <si>
    <t>Bird</t>
  </si>
  <si>
    <t>Peanut</t>
  </si>
  <si>
    <t>Shep</t>
  </si>
  <si>
    <t>Douglas Furrs</t>
  </si>
  <si>
    <t>Lee</t>
  </si>
  <si>
    <t>Lucca</t>
  </si>
  <si>
    <t>Gracie</t>
  </si>
  <si>
    <t>Lou</t>
  </si>
  <si>
    <t>Cookie</t>
  </si>
  <si>
    <t>Tucher</t>
  </si>
  <si>
    <t>Sweetie</t>
  </si>
  <si>
    <t>Ed</t>
  </si>
  <si>
    <t>Leelu</t>
  </si>
  <si>
    <t>Leo</t>
  </si>
  <si>
    <t>Ammy</t>
  </si>
  <si>
    <t>Marge</t>
  </si>
  <si>
    <t>Grant</t>
  </si>
  <si>
    <t>June</t>
  </si>
  <si>
    <t>Tom</t>
  </si>
  <si>
    <t>Meg</t>
  </si>
  <si>
    <t>Greg</t>
  </si>
  <si>
    <t>Jolly</t>
  </si>
  <si>
    <t>Chip</t>
  </si>
  <si>
    <t>Name_Length</t>
  </si>
  <si>
    <t>First_Letter_of_Name</t>
  </si>
  <si>
    <t>Gender</t>
  </si>
  <si>
    <t>Age</t>
  </si>
  <si>
    <t>Type</t>
  </si>
  <si>
    <t>Name</t>
  </si>
  <si>
    <t>Count of Name</t>
  </si>
  <si>
    <t>Count of Name2</t>
  </si>
  <si>
    <t>Row Labels</t>
  </si>
  <si>
    <t>P</t>
  </si>
  <si>
    <t>E</t>
  </si>
  <si>
    <t>A</t>
  </si>
  <si>
    <t>D</t>
  </si>
  <si>
    <t>T</t>
  </si>
  <si>
    <t>J</t>
  </si>
  <si>
    <t>G</t>
  </si>
  <si>
    <t>C</t>
  </si>
  <si>
    <t>S</t>
  </si>
  <si>
    <t>L</t>
  </si>
  <si>
    <t>Count of Age</t>
  </si>
  <si>
    <t>Croft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</si>
</sst>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[form_testing.xlsm]Pet_Charts!PivotTable1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Pets</a:t>
            </a:r>
            <a:r>
              <a:rPr lang="en-US" baseline="0"/>
              <a:t> by Type &amp; Gender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Pet_Charts!$B$2</c:f>
              <c:strCache>
                <c:ptCount val="1"/>
                <c:pt idx="0">
                  <c:v>Count of Name2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1E-4A7F-9BA8-9CAABFD65D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1E-4A7F-9BA8-9CAABFD65D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A1E-4A7F-9BA8-9CAABFD65D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A1E-4A7F-9BA8-9CAABFD65DB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A1E-4A7F-9BA8-9CAABFD65DB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A1E-4A7F-9BA8-9CAABFD65D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Pet_Charts!$A$3:$A$9</c:f>
              <c:strCache>
                <c:ptCount val="6"/>
                <c:pt idx="0">
                  <c:v>Bird</c:v>
                </c:pt>
                <c:pt idx="1">
                  <c:v>Cat</c:v>
                </c:pt>
                <c:pt idx="2">
                  <c:v>Dog</c:v>
                </c:pt>
                <c:pt idx="3">
                  <c:v>Ferret</c:v>
                </c:pt>
                <c:pt idx="4">
                  <c:v>Horse</c:v>
                </c:pt>
                <c:pt idx="5">
                  <c:v>Snake</c:v>
                </c:pt>
              </c:strCache>
            </c:strRef>
          </c:cat>
          <c:val>
            <c:numRef>
              <c:f>Pet_Charts!$B$3:$B$9</c:f>
              <c:numCache>
                <c:formatCode>General</c:formatCode>
                <c:ptCount val="6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1E-4A7F-9BA8-9CAABFD65DB8}"/>
            </c:ext>
          </c:extLst>
        </c:ser>
        <c:ser>
          <c:idx val="1"/>
          <c:order val="1"/>
          <c:tx>
            <c:strRef>
              <c:f>Pet_Charts!$C$2</c:f>
              <c:strCache>
                <c:ptCount val="1"/>
                <c:pt idx="0">
                  <c:v>Count of Name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AA1E-4A7F-9BA8-9CAABFD65D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AA1E-4A7F-9BA8-9CAABFD65D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AA1E-4A7F-9BA8-9CAABFD65D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AA1E-4A7F-9BA8-9CAABFD65DB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AA1E-4A7F-9BA8-9CAABFD65DB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AA1E-4A7F-9BA8-9CAABFD65DB8}"/>
              </c:ext>
            </c:extLst>
          </c:dPt>
          <c:cat>
            <c:strRef>
              <c:f>Pet_Charts!$A$3:$A$9</c:f>
              <c:strCache>
                <c:ptCount val="6"/>
                <c:pt idx="0">
                  <c:v>Bird</c:v>
                </c:pt>
                <c:pt idx="1">
                  <c:v>Cat</c:v>
                </c:pt>
                <c:pt idx="2">
                  <c:v>Dog</c:v>
                </c:pt>
                <c:pt idx="3">
                  <c:v>Ferret</c:v>
                </c:pt>
                <c:pt idx="4">
                  <c:v>Horse</c:v>
                </c:pt>
                <c:pt idx="5">
                  <c:v>Snake</c:v>
                </c:pt>
              </c:strCache>
            </c:strRef>
          </c:cat>
          <c:val>
            <c:numRef>
              <c:f>Pet_Charts!$C$3:$C$9</c:f>
              <c:numCache>
                <c:formatCode>0.00%</c:formatCode>
                <c:ptCount val="6"/>
                <c:pt idx="0">
                  <c:v>0.1</c:v>
                </c:pt>
                <c:pt idx="1">
                  <c:v>0.23333333333333334</c:v>
                </c:pt>
                <c:pt idx="2">
                  <c:v>0.33333333333333331</c:v>
                </c:pt>
                <c:pt idx="3">
                  <c:v>0.1</c:v>
                </c:pt>
                <c:pt idx="4">
                  <c:v>0.13333333333333333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A1E-4A7F-9BA8-9CAABFD65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[form_testing.xlsm]Pet_Charts!PivotTable2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Pet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Pet_Charts!$B$11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Pet_Charts!$A$12:$A$29</c:f>
              <c:strCach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19</c:v>
                </c:pt>
              </c:strCache>
            </c:strRef>
          </c:cat>
          <c:val>
            <c:numRef>
              <c:f>Pet_Charts!$B$12:$B$29</c:f>
              <c:numCache>
                <c:formatCode>General</c:formatCode>
                <c:ptCount val="17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3-42AB-B5DF-C4C8D7FC0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677119"/>
        <c:axId val="2061974287"/>
      </c:barChart>
      <c:catAx>
        <c:axId val="161167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974287"/>
        <c:crosses val="autoZero"/>
        <c:auto val="1"/>
        <c:lblAlgn val="ctr"/>
        <c:lblOffset val="100"/>
        <c:noMultiLvlLbl val="0"/>
      </c:catAx>
      <c:valAx>
        <c:axId val="2061974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677119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[form_testing.xlsm]Pet_Charts!PivotTable3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Pet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Pet_Charts!$B$31</c:f>
              <c:strCache>
                <c:ptCount val="1"/>
                <c:pt idx="0">
                  <c:v>Count of Name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44-472F-96FA-09A23A1DD7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44-472F-96FA-09A23A1DD7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Pet_Charts!$A$32:$A$34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Pet_Charts!$B$32:$B$34</c:f>
              <c:numCache>
                <c:formatCode>0.00%</c:formatCode>
                <c:ptCount val="2"/>
                <c:pt idx="0">
                  <c:v>0.46666666666666667</c:v>
                </c:pt>
                <c:pt idx="1">
                  <c:v>0.53333333333333333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44-472F-96FA-09A23A1DD73E}"/>
            </c:ext>
          </c:extLst>
        </c:ser>
        <c:ser>
          <c:idx val="1"/>
          <c:order val="1"/>
          <c:tx>
            <c:strRef>
              <c:f>Pet_Charts!$C$31</c:f>
              <c:strCache>
                <c:ptCount val="1"/>
                <c:pt idx="0">
                  <c:v>Count of Name2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9644-472F-96FA-09A23A1DD7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644-472F-96FA-09A23A1DD73E}"/>
              </c:ext>
            </c:extLst>
          </c:dPt>
          <c:cat>
            <c:strRef>
              <c:f>Pet_Charts!$A$32:$A$34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Pet_Charts!$C$32:$C$34</c:f>
              <c:numCache>
                <c:formatCode>General</c:formatCode>
                <c:ptCount val="2"/>
                <c:pt idx="0">
                  <c:v>14</c:v>
                </c:pt>
                <c:pt idx="1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44-472F-96FA-09A23A1DD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[form_testing.xlsm]Pet_Charts!PivotTable4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First Letters of Pet Names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</c15:spPr>
            </c:ext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</c15:spPr>
            </c:ext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marker>
          <c:symbol val="none"/>
        </c:marke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2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3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4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5">
              <a:lumMod val="6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Pet_Charts!$B$36</c:f>
              <c:strCache>
                <c:ptCount val="1"/>
                <c:pt idx="0">
                  <c:v>Count of Name2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D5-4D4C-B514-12D5DFC086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D5-4D4C-B514-12D5DFC086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D5-4D4C-B514-12D5DFC086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D5-4D4C-B514-12D5DFC086A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7D5-4D4C-B514-12D5DFC086A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7D5-4D4C-B514-12D5DFC086A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7D5-4D4C-B514-12D5DFC086A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7D5-4D4C-B514-12D5DFC086A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7D5-4D4C-B514-12D5DFC086A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7D5-4D4C-B514-12D5DFC086A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7D5-4D4C-B514-12D5DFC086A5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Pet_Charts!$A$37:$A$48</c:f>
              <c:strCache>
                <c:ptCount val="11"/>
                <c:pt idx="0">
                  <c:v>L</c:v>
                </c:pt>
                <c:pt idx="1">
                  <c:v>S</c:v>
                </c:pt>
                <c:pt idx="2">
                  <c:v>C</c:v>
                </c:pt>
                <c:pt idx="3">
                  <c:v>G</c:v>
                </c:pt>
                <c:pt idx="4">
                  <c:v>M</c:v>
                </c:pt>
                <c:pt idx="5">
                  <c:v>J</c:v>
                </c:pt>
                <c:pt idx="6">
                  <c:v>T</c:v>
                </c:pt>
                <c:pt idx="7">
                  <c:v>D</c:v>
                </c:pt>
                <c:pt idx="8">
                  <c:v>A</c:v>
                </c:pt>
                <c:pt idx="9">
                  <c:v>E</c:v>
                </c:pt>
                <c:pt idx="10">
                  <c:v>P</c:v>
                </c:pt>
              </c:strCache>
            </c:strRef>
          </c:cat>
          <c:val>
            <c:numRef>
              <c:f>Pet_Charts!$B$37:$B$48</c:f>
              <c:numCache>
                <c:formatCode>General</c:formatCode>
                <c:ptCount val="11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7D5-4D4C-B514-12D5DFC086A5}"/>
            </c:ext>
          </c:extLst>
        </c:ser>
        <c:ser>
          <c:idx val="1"/>
          <c:order val="1"/>
          <c:tx>
            <c:strRef>
              <c:f>Pet_Charts!$C$36</c:f>
              <c:strCache>
                <c:ptCount val="1"/>
                <c:pt idx="0">
                  <c:v>Count of Name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D7D5-4D4C-B514-12D5DFC086A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D7D5-4D4C-B514-12D5DFC086A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D7D5-4D4C-B514-12D5DFC086A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7D5-4D4C-B514-12D5DFC086A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7D5-4D4C-B514-12D5DFC086A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7D5-4D4C-B514-12D5DFC086A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7D5-4D4C-B514-12D5DFC086A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D7D5-4D4C-B514-12D5DFC086A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D7D5-4D4C-B514-12D5DFC086A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D7D5-4D4C-B514-12D5DFC086A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D7D5-4D4C-B514-12D5DFC086A5}"/>
              </c:ext>
            </c:extLst>
          </c:dPt>
          <c:cat>
            <c:strRef>
              <c:f>Pet_Charts!$A$37:$A$48</c:f>
              <c:strCache>
                <c:ptCount val="11"/>
                <c:pt idx="0">
                  <c:v>L</c:v>
                </c:pt>
                <c:pt idx="1">
                  <c:v>S</c:v>
                </c:pt>
                <c:pt idx="2">
                  <c:v>C</c:v>
                </c:pt>
                <c:pt idx="3">
                  <c:v>G</c:v>
                </c:pt>
                <c:pt idx="4">
                  <c:v>M</c:v>
                </c:pt>
                <c:pt idx="5">
                  <c:v>J</c:v>
                </c:pt>
                <c:pt idx="6">
                  <c:v>T</c:v>
                </c:pt>
                <c:pt idx="7">
                  <c:v>D</c:v>
                </c:pt>
                <c:pt idx="8">
                  <c:v>A</c:v>
                </c:pt>
                <c:pt idx="9">
                  <c:v>E</c:v>
                </c:pt>
                <c:pt idx="10">
                  <c:v>P</c:v>
                </c:pt>
              </c:strCache>
            </c:strRef>
          </c:cat>
          <c:val>
            <c:numRef>
              <c:f>Pet_Charts!$C$37:$C$48</c:f>
              <c:numCache>
                <c:formatCode>0.00%</c:formatCode>
                <c:ptCount val="11"/>
                <c:pt idx="0">
                  <c:v>0.16666666666666666</c:v>
                </c:pt>
                <c:pt idx="1">
                  <c:v>0.13333333333333333</c:v>
                </c:pt>
                <c:pt idx="2">
                  <c:v>0.13333333333333333</c:v>
                </c:pt>
                <c:pt idx="3">
                  <c:v>0.13333333333333333</c:v>
                </c:pt>
                <c:pt idx="4">
                  <c:v>0.1</c:v>
                </c:pt>
                <c:pt idx="5">
                  <c:v>0.1</c:v>
                </c:pt>
                <c:pt idx="6">
                  <c:v>6.6666666666666666E-2</c:v>
                </c:pt>
                <c:pt idx="7">
                  <c:v>6.6666666666666666E-2</c:v>
                </c:pt>
                <c:pt idx="8">
                  <c:v>3.3333333333333333E-2</c:v>
                </c:pt>
                <c:pt idx="9">
                  <c:v>3.3333333333333333E-2</c:v>
                </c:pt>
                <c:pt idx="10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D7D5-4D4C-B514-12D5DFC08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[form_testing.xlsm]Pet_Charts!PivotTable5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Pet Name Lengths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noFill/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noFill/>
          <a:ln>
            <a:noFill/>
          </a:ln>
          <a:effectLst/>
        </c:spPr>
        <c:marker>
          <c:symbol val="none"/>
        </c:marke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Pet_Charts!$B$50</c:f>
              <c:strCache>
                <c:ptCount val="1"/>
                <c:pt idx="0">
                  <c:v>Count of Name2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Pet_Charts!$A$51:$A$58</c:f>
              <c:strCach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13</c:v>
                </c:pt>
              </c:strCache>
            </c:strRef>
          </c:cat>
          <c:val>
            <c:numRef>
              <c:f>Pet_Charts!$B$51:$B$58</c:f>
              <c:numCache>
                <c:formatCode>General</c:formatCode>
                <c:ptCount val="7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4-4DED-A621-E24FC762E19A}"/>
            </c:ext>
          </c:extLst>
        </c:ser>
        <c:ser>
          <c:idx val="1"/>
          <c:order val="1"/>
          <c:tx>
            <c:strRef>
              <c:f>Pet_Charts!$C$50</c:f>
              <c:strCache>
                <c:ptCount val="1"/>
                <c:pt idx="0">
                  <c:v>Count of Name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strRef>
              <c:f>Pet_Charts!$A$51:$A$58</c:f>
              <c:strCach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13</c:v>
                </c:pt>
              </c:strCache>
            </c:strRef>
          </c:cat>
          <c:val>
            <c:numRef>
              <c:f>Pet_Charts!$C$51:$C$58</c:f>
              <c:numCache>
                <c:formatCode>0.00%</c:formatCode>
                <c:ptCount val="7"/>
                <c:pt idx="0">
                  <c:v>3.3333333333333333E-2</c:v>
                </c:pt>
                <c:pt idx="1">
                  <c:v>0.2</c:v>
                </c:pt>
                <c:pt idx="2">
                  <c:v>0.16666666666666666</c:v>
                </c:pt>
                <c:pt idx="3">
                  <c:v>0.3</c:v>
                </c:pt>
                <c:pt idx="4">
                  <c:v>0.16666666666666666</c:v>
                </c:pt>
                <c:pt idx="5">
                  <c:v>6.6666666666666666E-2</c:v>
                </c:pt>
                <c:pt idx="6">
                  <c:v>6.6666666666666666E-2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84-4DED-A621-E24FC762E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60271"/>
        <c:axId val="109462079"/>
      </c:areaChart>
      <c:catAx>
        <c:axId val="105660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  <a:r>
                  <a:rPr lang="en-US" baseline="0"/>
                  <a:t> (in letters)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462079"/>
        <c:crosses val="autoZero"/>
        <c:auto val="1"/>
        <c:lblAlgn val="ctr"/>
        <c:lblOffset val="100"/>
        <c:noMultiLvlLbl val="0"/>
      </c:catAx>
      <c:valAx>
        <c:axId val="10946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Pets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60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</xdr:colOff>
      <xdr:row>0</xdr:row>
      <xdr:rowOff>0</xdr:rowOff>
    </xdr:from>
    <xdr:to>
      <xdr:col>13</xdr:col>
      <xdr:colOff>9525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FD91F-628E-4383-A60B-7CA237A6D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</xdr:colOff>
      <xdr:row>21</xdr:row>
      <xdr:rowOff>4761</xdr:rowOff>
    </xdr:from>
    <xdr:to>
      <xdr:col>13</xdr:col>
      <xdr:colOff>0</xdr:colOff>
      <xdr:row>35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C5B45E-1B35-4783-9F7D-0D34D66EC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4762</xdr:colOff>
      <xdr:row>37</xdr:row>
      <xdr:rowOff>4761</xdr:rowOff>
    </xdr:from>
    <xdr:to>
      <xdr:col>13</xdr:col>
      <xdr:colOff>0</xdr:colOff>
      <xdr:row>52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00593A-48DE-4BDE-B35B-318CE0411C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4761</xdr:colOff>
      <xdr:row>54</xdr:row>
      <xdr:rowOff>4762</xdr:rowOff>
    </xdr:from>
    <xdr:to>
      <xdr:col>13</xdr:col>
      <xdr:colOff>0</xdr:colOff>
      <xdr:row>68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0310DC-54C7-420D-9F9C-0A7C39710A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4762</xdr:colOff>
      <xdr:row>70</xdr:row>
      <xdr:rowOff>4762</xdr:rowOff>
    </xdr:from>
    <xdr:to>
      <xdr:col>13</xdr:col>
      <xdr:colOff>0</xdr:colOff>
      <xdr:row>84</xdr:row>
      <xdr:rowOff>80962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5B20669-7741-4E99-BDE4-6E7166F46C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dynamic_xls_to_ppt_test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queline Cochran" refreshedDate="43468.462660879632" createdVersion="6" refreshedVersion="6" minRefreshableVersion="3" recordCount="7" xr:uid="{B30FF5C5-A3E4-45A0-8243-98E03E6C11CA}">
  <cacheSource type="worksheet">
    <worksheetSource name="Table1"/>
  </cacheSource>
  <cacheFields count="17">
    <cacheField name="ee_title" numFmtId="0">
      <sharedItems count="5">
        <s v="Mr."/>
        <s v="Mrs."/>
        <s v="Dr."/>
        <s v="Miss."/>
        <s v="Ms."/>
      </sharedItems>
    </cacheField>
    <cacheField name="ee_first_name" numFmtId="0">
      <sharedItems/>
    </cacheField>
    <cacheField name="ee_last_name" numFmtId="0">
      <sharedItems/>
    </cacheField>
    <cacheField name="ee_dob" numFmtId="14">
      <sharedItems containsSemiMixedTypes="0" containsNonDate="0" containsDate="1" containsString="0" minDate="1955-05-05T00:00:00" maxDate="1998-10-11T00:00:00"/>
    </cacheField>
    <cacheField name="ee_location" numFmtId="0">
      <sharedItems count="2">
        <s v="Los Angeles, CA"/>
        <s v="New York, NY"/>
      </sharedItems>
    </cacheField>
    <cacheField name="ee_doh" numFmtId="14">
      <sharedItems containsSemiMixedTypes="0" containsNonDate="0" containsDate="1" containsString="0" minDate="1966-06-06T00:00:00" maxDate="2018-02-03T00:00:00"/>
    </cacheField>
    <cacheField name="ee_dept" numFmtId="0">
      <sharedItems/>
    </cacheField>
    <cacheField name="ee_position" numFmtId="14">
      <sharedItems count="7">
        <s v="Adjuster"/>
        <s v="Clerk"/>
        <s v="Manager"/>
        <s v="Investigator"/>
        <s v="Generalist"/>
        <s v="Facilitator"/>
        <s v="Defense Counsel"/>
      </sharedItems>
    </cacheField>
    <cacheField name="ee_1099_status" numFmtId="0">
      <sharedItems/>
    </cacheField>
    <cacheField name="ee_sports" numFmtId="14">
      <sharedItems containsBlank="1"/>
    </cacheField>
    <cacheField name="ee_animals" numFmtId="0">
      <sharedItems/>
    </cacheField>
    <cacheField name="ee_hobbies" numFmtId="14">
      <sharedItems/>
    </cacheField>
    <cacheField name="ee_color" numFmtId="0">
      <sharedItems containsBlank="1"/>
    </cacheField>
    <cacheField name="ee_cuisine" numFmtId="14">
      <sharedItems containsBlank="1"/>
    </cacheField>
    <cacheField name="ee_season" numFmtId="0">
      <sharedItems containsBlank="1"/>
    </cacheField>
    <cacheField name="ee_age" numFmtId="1">
      <sharedItems containsSemiMixedTypes="0" containsString="0" containsNumber="1" minValue="20.232717316906228" maxValue="63.665982203969882"/>
    </cacheField>
    <cacheField name="ee_tenure" numFmtId="1">
      <sharedItems containsSemiMixedTypes="0" containsString="0" containsNumber="1" minValue="0.91718001368925395" maxValue="52.5776865160848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queline Cochran" refreshedDate="43476.414494212964" createdVersion="6" refreshedVersion="6" minRefreshableVersion="3" recordCount="30" xr:uid="{F5DCFC7A-9496-419A-B25D-37AC5302648C}">
  <cacheSource type="worksheet">
    <worksheetSource name="Table1" r:id="rId2"/>
  </cacheSource>
  <cacheFields count="6">
    <cacheField name="Name" numFmtId="0">
      <sharedItems/>
    </cacheField>
    <cacheField name="Type" numFmtId="0">
      <sharedItems count="6">
        <s v="Dog"/>
        <s v="Cat"/>
        <s v="Horse"/>
        <s v="Bird"/>
        <s v="Snake"/>
        <s v="Ferret"/>
      </sharedItems>
    </cacheField>
    <cacheField name="Age" numFmtId="0">
      <sharedItems containsSemiMixedTypes="0" containsString="0" containsNumber="1" containsInteger="1" minValue="1" maxValue="19" count="17">
        <n v="4"/>
        <n v="5"/>
        <n v="2"/>
        <n v="6"/>
        <n v="13"/>
        <n v="3"/>
        <n v="1"/>
        <n v="8"/>
        <n v="12"/>
        <n v="10"/>
        <n v="7"/>
        <n v="14"/>
        <n v="11"/>
        <n v="9"/>
        <n v="15"/>
        <n v="19"/>
        <n v="16"/>
      </sharedItems>
    </cacheField>
    <cacheField name="Gender" numFmtId="0">
      <sharedItems count="2">
        <s v="M"/>
        <s v="F"/>
      </sharedItems>
    </cacheField>
    <cacheField name="First_Letter_of_Name" numFmtId="0">
      <sharedItems count="11">
        <s v="C"/>
        <s v="J"/>
        <s v="G"/>
        <s v="M"/>
        <s v="T"/>
        <s v="A"/>
        <s v="L"/>
        <s v="E"/>
        <s v="S"/>
        <s v="D"/>
        <s v="P"/>
      </sharedItems>
    </cacheField>
    <cacheField name="Name_Length" numFmtId="0">
      <sharedItems containsSemiMixedTypes="0" containsString="0" containsNumber="1" containsInteger="1" minValue="2" maxValue="13" count="7">
        <n v="4"/>
        <n v="5"/>
        <n v="3"/>
        <n v="2"/>
        <n v="7"/>
        <n v="6"/>
        <n v="1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Joe"/>
    <s v="Smith"/>
    <d v="1976-01-01T00:00:00"/>
    <x v="0"/>
    <d v="1992-02-02T00:00:00"/>
    <s v="Field"/>
    <x v="0"/>
    <s v="No"/>
    <s v="Baseball"/>
    <s v="Foxes"/>
    <s v="Boating"/>
    <s v="Red"/>
    <s v="Italian"/>
    <s v="Fall"/>
    <n v="43.006160164271044"/>
    <n v="26.918548939082822"/>
  </r>
  <r>
    <x v="1"/>
    <s v="Jane"/>
    <s v="Doe"/>
    <d v="1985-05-05T00:00:00"/>
    <x v="0"/>
    <d v="2003-03-03T00:00:00"/>
    <s v="Administrative"/>
    <x v="1"/>
    <s v="No"/>
    <s v="Tennis"/>
    <s v="Rabbits"/>
    <s v="Crochet"/>
    <s v="Purple"/>
    <s v="Tex-Mex"/>
    <s v="Winter"/>
    <n v="33.664613278576319"/>
    <n v="15.838466803559205"/>
  </r>
  <r>
    <x v="2"/>
    <s v="Robin"/>
    <s v="Johnson"/>
    <d v="1977-07-07T00:00:00"/>
    <x v="1"/>
    <d v="1966-06-06T00:00:00"/>
    <s v="Operations"/>
    <x v="2"/>
    <s v="No"/>
    <s v="Badminton"/>
    <s v="Penguins"/>
    <s v="Geocaching"/>
    <s v="Green"/>
    <s v="Sushi"/>
    <s v="Summer"/>
    <n v="41.492128678986994"/>
    <n v="52.577686516084874"/>
  </r>
  <r>
    <x v="3"/>
    <s v="Anna"/>
    <s v="Banana"/>
    <d v="1998-10-10T00:00:00"/>
    <x v="0"/>
    <d v="2018-02-02T00:00:00"/>
    <s v="Legal"/>
    <x v="3"/>
    <s v="No"/>
    <s v="n/a"/>
    <s v="Bears"/>
    <s v="Pottery"/>
    <s v="Orange"/>
    <s v="Soylent Green"/>
    <s v="Fall"/>
    <n v="20.232717316906228"/>
    <n v="0.91718001368925395"/>
  </r>
  <r>
    <x v="4"/>
    <s v="Amy"/>
    <s v="Lane"/>
    <d v="1983-04-08T00:00:00"/>
    <x v="1"/>
    <d v="1999-06-06T00:00:00"/>
    <s v="HR"/>
    <x v="4"/>
    <s v="No"/>
    <s v="Jousting"/>
    <s v="Horses"/>
    <s v="Yoga"/>
    <s v="Pink"/>
    <s v="American"/>
    <s v="Spring"/>
    <n v="35.739904175222449"/>
    <n v="19.578370978781656"/>
  </r>
  <r>
    <x v="3"/>
    <s v="Diane"/>
    <s v="Prince"/>
    <d v="1955-05-05T00:00:00"/>
    <x v="1"/>
    <d v="2007-08-18T00:00:00"/>
    <s v="Training"/>
    <x v="5"/>
    <s v="No"/>
    <s v="Track"/>
    <s v="Cats"/>
    <s v="Sewing"/>
    <m/>
    <m/>
    <m/>
    <n v="63.665982203969882"/>
    <n v="11.378507871321013"/>
  </r>
  <r>
    <x v="1"/>
    <s v="Lara"/>
    <s v="Badalamenti"/>
    <d v="1977-03-06T00:00:00"/>
    <x v="1"/>
    <d v="1999-11-10T00:00:00"/>
    <s v="Legal"/>
    <x v="6"/>
    <s v="No"/>
    <m/>
    <s v="Ducks"/>
    <s v="Kayaking"/>
    <s v="Brown"/>
    <s v="Indian"/>
    <s v="Winter"/>
    <n v="41.828884325804246"/>
    <n v="19.1485284052019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Chip"/>
    <x v="0"/>
    <x v="0"/>
    <x v="0"/>
    <x v="0"/>
    <x v="0"/>
  </r>
  <r>
    <s v="Jolly"/>
    <x v="1"/>
    <x v="1"/>
    <x v="1"/>
    <x v="1"/>
    <x v="1"/>
  </r>
  <r>
    <s v="Greg"/>
    <x v="2"/>
    <x v="2"/>
    <x v="0"/>
    <x v="2"/>
    <x v="0"/>
  </r>
  <r>
    <s v="Meg"/>
    <x v="3"/>
    <x v="3"/>
    <x v="1"/>
    <x v="3"/>
    <x v="2"/>
  </r>
  <r>
    <s v="Tom"/>
    <x v="1"/>
    <x v="4"/>
    <x v="0"/>
    <x v="4"/>
    <x v="2"/>
  </r>
  <r>
    <s v="June"/>
    <x v="0"/>
    <x v="5"/>
    <x v="1"/>
    <x v="1"/>
    <x v="0"/>
  </r>
  <r>
    <s v="Grant"/>
    <x v="4"/>
    <x v="6"/>
    <x v="0"/>
    <x v="2"/>
    <x v="1"/>
  </r>
  <r>
    <s v="Marge"/>
    <x v="5"/>
    <x v="2"/>
    <x v="1"/>
    <x v="3"/>
    <x v="1"/>
  </r>
  <r>
    <s v="Ammy"/>
    <x v="0"/>
    <x v="7"/>
    <x v="1"/>
    <x v="5"/>
    <x v="0"/>
  </r>
  <r>
    <s v="Leo"/>
    <x v="0"/>
    <x v="8"/>
    <x v="0"/>
    <x v="6"/>
    <x v="2"/>
  </r>
  <r>
    <s v="Leelu"/>
    <x v="1"/>
    <x v="9"/>
    <x v="1"/>
    <x v="6"/>
    <x v="1"/>
  </r>
  <r>
    <s v="Ed"/>
    <x v="2"/>
    <x v="10"/>
    <x v="0"/>
    <x v="7"/>
    <x v="3"/>
  </r>
  <r>
    <s v="Sweetie"/>
    <x v="3"/>
    <x v="6"/>
    <x v="1"/>
    <x v="8"/>
    <x v="4"/>
  </r>
  <r>
    <s v="Tucher"/>
    <x v="1"/>
    <x v="11"/>
    <x v="0"/>
    <x v="4"/>
    <x v="5"/>
  </r>
  <r>
    <s v="Cookie"/>
    <x v="0"/>
    <x v="12"/>
    <x v="1"/>
    <x v="0"/>
    <x v="5"/>
  </r>
  <r>
    <s v="Lou"/>
    <x v="4"/>
    <x v="13"/>
    <x v="0"/>
    <x v="6"/>
    <x v="2"/>
  </r>
  <r>
    <s v="Gracie"/>
    <x v="5"/>
    <x v="2"/>
    <x v="1"/>
    <x v="2"/>
    <x v="5"/>
  </r>
  <r>
    <s v="Lucca"/>
    <x v="0"/>
    <x v="10"/>
    <x v="1"/>
    <x v="6"/>
    <x v="1"/>
  </r>
  <r>
    <s v="Lee"/>
    <x v="0"/>
    <x v="0"/>
    <x v="0"/>
    <x v="6"/>
    <x v="2"/>
  </r>
  <r>
    <s v="Douglas Furrs"/>
    <x v="1"/>
    <x v="14"/>
    <x v="0"/>
    <x v="9"/>
    <x v="6"/>
  </r>
  <r>
    <s v="Shep"/>
    <x v="2"/>
    <x v="5"/>
    <x v="0"/>
    <x v="8"/>
    <x v="0"/>
  </r>
  <r>
    <s v="Peanut"/>
    <x v="3"/>
    <x v="0"/>
    <x v="0"/>
    <x v="10"/>
    <x v="5"/>
  </r>
  <r>
    <s v="Sneaker"/>
    <x v="1"/>
    <x v="15"/>
    <x v="0"/>
    <x v="8"/>
    <x v="4"/>
  </r>
  <r>
    <s v="Max"/>
    <x v="0"/>
    <x v="7"/>
    <x v="0"/>
    <x v="3"/>
    <x v="2"/>
  </r>
  <r>
    <s v="Danger Noodle"/>
    <x v="4"/>
    <x v="5"/>
    <x v="1"/>
    <x v="9"/>
    <x v="6"/>
  </r>
  <r>
    <s v="Slippy"/>
    <x v="5"/>
    <x v="2"/>
    <x v="1"/>
    <x v="8"/>
    <x v="5"/>
  </r>
  <r>
    <s v="Jemma"/>
    <x v="0"/>
    <x v="6"/>
    <x v="1"/>
    <x v="1"/>
    <x v="1"/>
  </r>
  <r>
    <s v="Champ"/>
    <x v="0"/>
    <x v="16"/>
    <x v="0"/>
    <x v="0"/>
    <x v="1"/>
  </r>
  <r>
    <s v="Grizz"/>
    <x v="1"/>
    <x v="3"/>
    <x v="1"/>
    <x v="2"/>
    <x v="1"/>
  </r>
  <r>
    <s v="Colin"/>
    <x v="2"/>
    <x v="3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43D96-970B-42FE-B3B3-CD6A00605A74}" name="PivotTable3" cacheId="0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showHeaders="0" compact="0" outline="1" outlineData="1" compactData="0" multipleFieldFilters="0">
  <location ref="A3:E17" firstHeaderRow="1" firstDataRow="2" firstDataCol="2"/>
  <pivotFields count="17">
    <pivotField axis="axisRow" compact="0" showAll="0">
      <items count="6">
        <item x="2"/>
        <item x="3"/>
        <item x="0"/>
        <item x="1"/>
        <item x="4"/>
        <item t="default"/>
      </items>
    </pivotField>
    <pivotField compact="0" showAll="0"/>
    <pivotField compact="0" showAll="0"/>
    <pivotField compact="0" numFmtId="14" showAll="0"/>
    <pivotField axis="axisCol" compact="0" showAll="0">
      <items count="3">
        <item x="0"/>
        <item x="1"/>
        <item t="default"/>
      </items>
    </pivotField>
    <pivotField compact="0" numFmtId="14" showAll="0"/>
    <pivotField compact="0" showAll="0"/>
    <pivotField axis="axisRow" compact="0" showAll="0">
      <items count="8">
        <item x="0"/>
        <item x="1"/>
        <item x="6"/>
        <item x="5"/>
        <item x="4"/>
        <item x="3"/>
        <item x="2"/>
        <item t="default"/>
      </items>
    </pivotField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numFmtId="1" showAll="0"/>
    <pivotField compact="0" numFmtId="1" showAll="0"/>
  </pivotFields>
  <rowFields count="2">
    <field x="0"/>
    <field x="7"/>
  </rowFields>
  <rowItems count="13">
    <i>
      <x/>
    </i>
    <i r="1">
      <x v="6"/>
    </i>
    <i>
      <x v="1"/>
    </i>
    <i r="1">
      <x v="3"/>
    </i>
    <i r="1">
      <x v="5"/>
    </i>
    <i>
      <x v="2"/>
    </i>
    <i r="1">
      <x/>
    </i>
    <i>
      <x v="3"/>
    </i>
    <i r="1">
      <x v="1"/>
    </i>
    <i r="1">
      <x v="2"/>
    </i>
    <i>
      <x v="4"/>
    </i>
    <i r="1">
      <x v="4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ee_animals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E1710F-5969-4F1E-94CC-16EFF7522C19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11:B29" firstHeaderRow="1" firstDataRow="1" firstDataCol="1"/>
  <pivotFields count="6">
    <pivotField showAll="0"/>
    <pivotField showAll="0"/>
    <pivotField axis="axisRow" dataField="1" showAll="0">
      <items count="18">
        <item x="6"/>
        <item x="2"/>
        <item x="5"/>
        <item x="0"/>
        <item x="1"/>
        <item x="3"/>
        <item x="10"/>
        <item x="7"/>
        <item x="13"/>
        <item x="9"/>
        <item x="12"/>
        <item x="8"/>
        <item x="4"/>
        <item x="11"/>
        <item x="14"/>
        <item x="16"/>
        <item x="15"/>
        <item t="default"/>
      </items>
    </pivotField>
    <pivotField showAll="0"/>
    <pivotField showAll="0"/>
    <pivotField showAll="0"/>
  </pivotFields>
  <rowFields count="1">
    <field x="2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Count of Age" fld="2" subtotal="count" baseField="2" baseItem="0"/>
  </dataFields>
  <chartFormats count="1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967D3C-EFC0-4429-A84F-860F79538861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1:C34" firstHeaderRow="0" firstDataRow="1" firstDataCol="1"/>
  <pivotFields count="6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Name" fld="0" subtotal="count" showDataAs="percentOfTotal" baseField="0" baseItem="0" numFmtId="10"/>
    <dataField name="Count of Name2" fld="0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0A474-47E7-45A2-8AC2-300E39B3A4E1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6:C48" firstHeaderRow="0" firstDataRow="1" firstDataCol="1"/>
  <pivotFields count="6">
    <pivotField dataField="1" showAll="0"/>
    <pivotField showAll="0">
      <items count="7">
        <item x="3"/>
        <item x="1"/>
        <item x="0"/>
        <item x="5"/>
        <item x="2"/>
        <item x="4"/>
        <item t="default"/>
      </items>
    </pivotField>
    <pivotField showAll="0"/>
    <pivotField showAll="0">
      <items count="3">
        <item x="1"/>
        <item x="0"/>
        <item t="default"/>
      </items>
    </pivotField>
    <pivotField axis="axisRow" showAll="0" sortType="descending">
      <items count="12">
        <item x="5"/>
        <item x="0"/>
        <item x="9"/>
        <item x="7"/>
        <item x="2"/>
        <item x="1"/>
        <item x="6"/>
        <item x="3"/>
        <item x="10"/>
        <item x="8"/>
        <item x="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</pivotFields>
  <rowFields count="1">
    <field x="4"/>
  </rowFields>
  <rowItems count="12">
    <i>
      <x v="6"/>
    </i>
    <i>
      <x v="9"/>
    </i>
    <i>
      <x v="1"/>
    </i>
    <i>
      <x v="4"/>
    </i>
    <i>
      <x v="7"/>
    </i>
    <i>
      <x v="5"/>
    </i>
    <i>
      <x v="10"/>
    </i>
    <i>
      <x v="2"/>
    </i>
    <i>
      <x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Name2" fld="0" subtotal="count" baseField="0" baseItem="0"/>
    <dataField name="Count of Name" fld="0" subtotal="count" showDataAs="percentOfTotal" baseField="0" baseItem="0" numFmtId="10"/>
  </dataFields>
  <chartFormats count="2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5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30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4" format="32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4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5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37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4" format="38">
      <pivotArea type="data" outline="0" fieldPosition="0">
        <references count="2">
          <reference field="4294967294" count="1" selected="0">
            <x v="1"/>
          </reference>
          <reference field="4" count="1" selected="0">
            <x v="9"/>
          </reference>
        </references>
      </pivotArea>
    </chartFormat>
    <chartFormat chart="4" format="39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4" format="40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4" format="4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4" format="42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4" format="43">
      <pivotArea type="data" outline="0" fieldPosition="0">
        <references count="2">
          <reference field="4294967294" count="1" selected="0">
            <x v="1"/>
          </reference>
          <reference field="4" count="1" selected="0">
            <x v="10"/>
          </reference>
        </references>
      </pivotArea>
    </chartFormat>
    <chartFormat chart="4" format="44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4" format="45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4" format="46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4" format="47">
      <pivotArea type="data" outline="0" fieldPosition="0">
        <references count="2">
          <reference field="4294967294" count="1" selected="0">
            <x v="1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A8BF26-6E15-4963-A9C5-0DB497DFD250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50:C58" firstHeaderRow="0" firstDataRow="1" firstDataCol="1"/>
  <pivotFields count="6">
    <pivotField dataField="1" showAll="0"/>
    <pivotField showAll="0">
      <items count="7">
        <item x="3"/>
        <item x="1"/>
        <item x="0"/>
        <item x="5"/>
        <item x="2"/>
        <item x="4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>
      <items count="12">
        <item x="5"/>
        <item x="0"/>
        <item x="9"/>
        <item x="7"/>
        <item x="2"/>
        <item x="1"/>
        <item x="6"/>
        <item x="3"/>
        <item x="10"/>
        <item x="8"/>
        <item x="4"/>
        <item t="default"/>
      </items>
    </pivotField>
    <pivotField axis="axisRow" showAll="0">
      <items count="8">
        <item x="3"/>
        <item x="2"/>
        <item x="0"/>
        <item x="1"/>
        <item x="5"/>
        <item x="4"/>
        <item x="6"/>
        <item t="default"/>
      </items>
    </pivotField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Name2" fld="0" subtotal="count" baseField="0" baseItem="0"/>
    <dataField name="Count of Name" fld="0" subtotal="count" showDataAs="percentOfTotal" baseField="0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7BE00-FF74-475D-9228-0A28EE5317BB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2:C9" firstHeaderRow="0" firstDataRow="1" firstDataCol="1"/>
  <pivotFields count="6">
    <pivotField dataField="1" showAll="0"/>
    <pivotField axis="axisRow" showAll="0">
      <items count="7">
        <item x="3"/>
        <item x="1"/>
        <item x="0"/>
        <item x="5"/>
        <item x="2"/>
        <item x="4"/>
        <item t="default"/>
      </items>
    </pivotField>
    <pivotField showAll="0"/>
    <pivotField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Name2" fld="0" subtotal="count" baseField="0" baseItem="0"/>
    <dataField name="Count of Name" fld="0" subtotal="count" showDataAs="percentOfTotal" baseField="0" baseItem="0" numFmtId="10"/>
  </dataFields>
  <chartFormats count="14"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25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26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27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EE302-A675-42C8-8E47-4E318868A403}" name="Table1" displayName="Table1" ref="A1:Q9" totalsRowShown="0">
  <autoFilter ref="A1:Q9" xr:uid="{CC6C63F6-FADB-4489-914A-5134CAD7544C}"/>
  <tableColumns count="17">
    <tableColumn id="1" xr3:uid="{F0891DFE-FD1D-4846-BBB7-F37C7E64F749}" name="ee_title"/>
    <tableColumn id="2" xr3:uid="{9F5A5927-2B82-418E-A105-DBD0517BBA57}" name="ee_first_name"/>
    <tableColumn id="3" xr3:uid="{7259C546-FDE1-4452-971E-EBDC62DEAF82}" name="ee_last_name"/>
    <tableColumn id="4" xr3:uid="{FC701B41-63B3-48D5-B296-6B6038366D03}" name="ee_dob" dataDxfId="9"/>
    <tableColumn id="5" xr3:uid="{A8865B3D-F9CB-410F-B863-93B962DDF406}" name="ee_location"/>
    <tableColumn id="6" xr3:uid="{BB709CEF-4202-498C-A5B9-72E7A3B665D0}" name="ee_doh" dataDxfId="8"/>
    <tableColumn id="7" xr3:uid="{F2C498B8-3FD3-4638-A2E6-A9AAB32026E0}" name="ee_dept"/>
    <tableColumn id="8" xr3:uid="{9A24269C-154E-4453-852B-E54366845B17}" name="ee_position" dataDxfId="7"/>
    <tableColumn id="9" xr3:uid="{8050D5CB-4457-4385-A60E-229F052E4F2E}" name="ee_1099_status"/>
    <tableColumn id="10" xr3:uid="{772E52A7-B3B1-4BB5-9C0E-BDCA1B4DCF33}" name="ee_sports" dataDxfId="6"/>
    <tableColumn id="11" xr3:uid="{38C0BB0C-F5F7-4FB4-B3B0-AD102352D858}" name="ee_animals"/>
    <tableColumn id="12" xr3:uid="{CE880945-6B7C-4873-A2AD-623741CA5BD2}" name="ee_hobbies" dataDxfId="5"/>
    <tableColumn id="13" xr3:uid="{BAF2AA0A-851A-4783-9DD6-FBE2DCDF3B6E}" name="ee_color"/>
    <tableColumn id="14" xr3:uid="{78AE5535-36ED-4208-9F60-D6D2E3DB7AF0}" name="ee_cuisine" dataDxfId="4"/>
    <tableColumn id="15" xr3:uid="{305BA34D-7CBF-4075-8DAC-CF10BFEB4F10}" name="ee_season"/>
    <tableColumn id="16" xr3:uid="{B2AB789B-D342-4341-AA3A-CD8DE21B4511}" name="ee_age" dataDxfId="3">
      <calculatedColumnFormula>(TODAY()-Table1[[#This Row],[ee_dob]])/365.25</calculatedColumnFormula>
    </tableColumn>
    <tableColumn id="17" xr3:uid="{44847FF9-B13A-4EE7-B4B0-963026254435}" name="ee_tenure" dataDxfId="2">
      <calculatedColumnFormula>(TODAY()-Table1[[#This Row],[ee_doh]])/365.25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79A56-9E10-42F6-85A4-20E01BE9E19F}" name="Table13" displayName="Table13" ref="A1:F31" totalsRowShown="0">
  <autoFilter ref="A1:F31" xr:uid="{2FECE1CE-4D1D-4ABF-B3D6-7A64BF590F56}"/>
  <tableColumns count="6">
    <tableColumn id="1" xr3:uid="{587342FB-633D-40FD-AAD8-A868F4949328}" name="Name"/>
    <tableColumn id="2" xr3:uid="{A9B4BA7B-F520-4066-9E0B-7E529E3C5ACC}" name="Type"/>
    <tableColumn id="3" xr3:uid="{12F09773-B45A-4917-BA60-8C3A18CD4DC3}" name="Age"/>
    <tableColumn id="4" xr3:uid="{EB7AD51C-17CE-44AC-A19C-90A0C0BCA423}" name="Gender"/>
    <tableColumn id="5" xr3:uid="{94A18138-079A-4F73-B589-1BD4819FA9F3}" name="First_Letter_of_Name" dataDxfId="1">
      <calculatedColumnFormula>MID(Table13[[#This Row],[Name]],1,1)</calculatedColumnFormula>
    </tableColumn>
    <tableColumn id="6" xr3:uid="{2DAF0750-2039-4D52-B671-B348BD96F932}" name="Name_Length" dataDxfId="0">
      <calculatedColumnFormula>LEN(Table13[[#This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13"/>
  <sheetViews>
    <sheetView tabSelected="1" workbookViewId="0"/>
  </sheetViews>
  <sheetFormatPr defaultRowHeight="15" x14ac:dyDescent="0.25"/>
  <cols>
    <col min="1" max="1" width="10.140625" customWidth="1"/>
    <col min="2" max="2" width="16" customWidth="1"/>
    <col min="3" max="3" width="15.5703125" customWidth="1"/>
    <col min="4" max="4" width="12.28515625" bestFit="1" customWidth="1"/>
    <col min="5" max="5" width="15" bestFit="1" customWidth="1"/>
    <col min="6" max="6" width="10.7109375" bestFit="1" customWidth="1"/>
    <col min="7" max="7" width="14.28515625" bestFit="1" customWidth="1"/>
    <col min="8" max="8" width="13.7109375" customWidth="1"/>
    <col min="9" max="9" width="16.7109375" customWidth="1"/>
    <col min="10" max="10" width="11.85546875" customWidth="1"/>
    <col min="11" max="11" width="13.28515625" customWidth="1"/>
    <col min="12" max="12" width="13.5703125" customWidth="1"/>
    <col min="13" max="13" width="10.85546875" customWidth="1"/>
    <col min="14" max="14" width="13.7109375" bestFit="1" customWidth="1"/>
    <col min="15" max="15" width="12.5703125" customWidth="1"/>
    <col min="16" max="16" width="10.7109375" bestFit="1" customWidth="1"/>
  </cols>
  <sheetData>
    <row r="1" spans="1:17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70</v>
      </c>
      <c r="Q1" t="s">
        <v>71</v>
      </c>
    </row>
    <row r="2" spans="1:17" x14ac:dyDescent="0.25">
      <c r="A2" t="s">
        <v>17</v>
      </c>
      <c r="B2" t="s">
        <v>30</v>
      </c>
      <c r="C2" t="s">
        <v>31</v>
      </c>
      <c r="D2" s="1">
        <v>27760</v>
      </c>
      <c r="E2" t="s">
        <v>72</v>
      </c>
      <c r="F2" s="1">
        <v>33636</v>
      </c>
      <c r="G2" t="s">
        <v>18</v>
      </c>
      <c r="H2" s="1" t="s">
        <v>23</v>
      </c>
      <c r="I2" t="s">
        <v>1</v>
      </c>
      <c r="J2" s="1" t="s">
        <v>25</v>
      </c>
      <c r="K2" t="s">
        <v>26</v>
      </c>
      <c r="L2" s="1" t="s">
        <v>27</v>
      </c>
      <c r="M2" t="s">
        <v>28</v>
      </c>
      <c r="N2" s="1" t="s">
        <v>29</v>
      </c>
      <c r="O2" t="s">
        <v>19</v>
      </c>
      <c r="P2" s="2">
        <f ca="1">(TODAY()-Table1[[#This Row],[ee_dob]])/365.25</f>
        <v>43.200547570157426</v>
      </c>
      <c r="Q2" s="2">
        <f ca="1">(TODAY()-Table1[[#This Row],[ee_doh]])/365.25</f>
        <v>27.112936344969199</v>
      </c>
    </row>
    <row r="3" spans="1:17" x14ac:dyDescent="0.25">
      <c r="A3" t="s">
        <v>21</v>
      </c>
      <c r="B3" t="s">
        <v>32</v>
      </c>
      <c r="C3" t="s">
        <v>33</v>
      </c>
      <c r="D3" s="1">
        <v>31172</v>
      </c>
      <c r="E3" t="s">
        <v>72</v>
      </c>
      <c r="F3" s="1">
        <v>37683</v>
      </c>
      <c r="G3" t="s">
        <v>22</v>
      </c>
      <c r="H3" s="1" t="s">
        <v>24</v>
      </c>
      <c r="I3" t="s">
        <v>1</v>
      </c>
      <c r="J3" s="1" t="s">
        <v>34</v>
      </c>
      <c r="K3" t="s">
        <v>35</v>
      </c>
      <c r="L3" s="1" t="s">
        <v>36</v>
      </c>
      <c r="M3" t="s">
        <v>37</v>
      </c>
      <c r="N3" s="1" t="s">
        <v>38</v>
      </c>
      <c r="O3" t="s">
        <v>20</v>
      </c>
      <c r="P3" s="2">
        <f ca="1">(TODAY()-Table1[[#This Row],[ee_dob]])/365.25</f>
        <v>33.8590006844627</v>
      </c>
      <c r="Q3" s="2">
        <f ca="1">(TODAY()-Table1[[#This Row],[ee_doh]])/365.25</f>
        <v>16.032854209445585</v>
      </c>
    </row>
    <row r="4" spans="1:17" x14ac:dyDescent="0.25">
      <c r="A4" t="s">
        <v>39</v>
      </c>
      <c r="B4" t="s">
        <v>40</v>
      </c>
      <c r="C4" t="s">
        <v>41</v>
      </c>
      <c r="D4" s="1">
        <v>28313</v>
      </c>
      <c r="E4" t="s">
        <v>61</v>
      </c>
      <c r="F4" s="1">
        <v>24264</v>
      </c>
      <c r="G4" t="s">
        <v>42</v>
      </c>
      <c r="H4" s="1" t="s">
        <v>0</v>
      </c>
      <c r="I4" t="s">
        <v>1</v>
      </c>
      <c r="J4" s="1" t="s">
        <v>43</v>
      </c>
      <c r="K4" t="s">
        <v>44</v>
      </c>
      <c r="L4" s="1" t="s">
        <v>45</v>
      </c>
      <c r="M4" t="s">
        <v>46</v>
      </c>
      <c r="N4" s="1" t="s">
        <v>47</v>
      </c>
      <c r="O4" t="s">
        <v>48</v>
      </c>
      <c r="P4" s="2">
        <f ca="1">(TODAY()-Table1[[#This Row],[ee_dob]])/365.25</f>
        <v>41.686516084873375</v>
      </c>
      <c r="Q4" s="2">
        <f ca="1">(TODAY()-Table1[[#This Row],[ee_doh]])/365.25</f>
        <v>52.772073921971256</v>
      </c>
    </row>
    <row r="5" spans="1:17" x14ac:dyDescent="0.25">
      <c r="A5" t="s">
        <v>49</v>
      </c>
      <c r="B5" t="s">
        <v>88</v>
      </c>
      <c r="C5" t="s">
        <v>50</v>
      </c>
      <c r="D5" s="1">
        <v>36078</v>
      </c>
      <c r="E5" t="s">
        <v>72</v>
      </c>
      <c r="F5" s="1">
        <v>43133</v>
      </c>
      <c r="G5" t="s">
        <v>51</v>
      </c>
      <c r="H5" s="1" t="s">
        <v>52</v>
      </c>
      <c r="I5" t="s">
        <v>1</v>
      </c>
      <c r="J5" s="1" t="s">
        <v>53</v>
      </c>
      <c r="K5" t="s">
        <v>54</v>
      </c>
      <c r="L5" s="1" t="s">
        <v>55</v>
      </c>
      <c r="M5" t="s">
        <v>56</v>
      </c>
      <c r="N5" s="1" t="s">
        <v>57</v>
      </c>
      <c r="O5" t="s">
        <v>19</v>
      </c>
      <c r="P5" s="2">
        <f ca="1">(TODAY()-Table1[[#This Row],[ee_dob]])/365.25</f>
        <v>20.427104722792606</v>
      </c>
      <c r="Q5" s="2">
        <f ca="1">(TODAY()-Table1[[#This Row],[ee_doh]])/365.25</f>
        <v>1.1115674195756331</v>
      </c>
    </row>
    <row r="6" spans="1:17" x14ac:dyDescent="0.25">
      <c r="A6" t="s">
        <v>58</v>
      </c>
      <c r="B6" t="s">
        <v>59</v>
      </c>
      <c r="C6" t="s">
        <v>60</v>
      </c>
      <c r="D6" s="1">
        <v>30414</v>
      </c>
      <c r="E6" t="s">
        <v>61</v>
      </c>
      <c r="F6" s="1">
        <v>36317</v>
      </c>
      <c r="G6" t="s">
        <v>62</v>
      </c>
      <c r="H6" s="1" t="s">
        <v>63</v>
      </c>
      <c r="I6" t="s">
        <v>1</v>
      </c>
      <c r="J6" s="1" t="s">
        <v>64</v>
      </c>
      <c r="K6" t="s">
        <v>65</v>
      </c>
      <c r="L6" s="1" t="s">
        <v>66</v>
      </c>
      <c r="M6" t="s">
        <v>67</v>
      </c>
      <c r="N6" s="1" t="s">
        <v>68</v>
      </c>
      <c r="O6" t="s">
        <v>69</v>
      </c>
      <c r="P6" s="2">
        <f ca="1">(TODAY()-Table1[[#This Row],[ee_dob]])/365.25</f>
        <v>35.93429158110883</v>
      </c>
      <c r="Q6" s="2">
        <f ca="1">(TODAY()-Table1[[#This Row],[ee_doh]])/365.25</f>
        <v>19.772758384668034</v>
      </c>
    </row>
    <row r="7" spans="1:17" x14ac:dyDescent="0.25">
      <c r="A7" t="s">
        <v>49</v>
      </c>
      <c r="B7" t="s">
        <v>73</v>
      </c>
      <c r="C7" t="s">
        <v>74</v>
      </c>
      <c r="D7" s="1">
        <v>20214</v>
      </c>
      <c r="E7" t="s">
        <v>61</v>
      </c>
      <c r="F7" s="1">
        <v>39312</v>
      </c>
      <c r="G7" t="s">
        <v>75</v>
      </c>
      <c r="H7" s="1" t="s">
        <v>76</v>
      </c>
      <c r="I7" t="s">
        <v>1</v>
      </c>
      <c r="J7" s="1" t="s">
        <v>77</v>
      </c>
      <c r="K7" t="s">
        <v>78</v>
      </c>
      <c r="L7" s="1" t="s">
        <v>79</v>
      </c>
      <c r="N7" s="1"/>
      <c r="P7" s="2">
        <f ca="1">(TODAY()-Table1[[#This Row],[ee_dob]])/365.25</f>
        <v>63.860369609856264</v>
      </c>
      <c r="Q7" s="2">
        <f ca="1">(TODAY()-Table1[[#This Row],[ee_doh]])/365.25</f>
        <v>11.572895277207392</v>
      </c>
    </row>
    <row r="8" spans="1:17" x14ac:dyDescent="0.25">
      <c r="A8" t="s">
        <v>21</v>
      </c>
      <c r="B8" t="s">
        <v>80</v>
      </c>
      <c r="C8" t="s">
        <v>152</v>
      </c>
      <c r="D8" s="1">
        <v>28190</v>
      </c>
      <c r="E8" t="s">
        <v>61</v>
      </c>
      <c r="F8" s="1">
        <v>36474</v>
      </c>
      <c r="G8" t="s">
        <v>51</v>
      </c>
      <c r="H8" s="1" t="s">
        <v>81</v>
      </c>
      <c r="I8" t="s">
        <v>1</v>
      </c>
      <c r="J8" s="1"/>
      <c r="K8" t="s">
        <v>82</v>
      </c>
      <c r="L8" s="1" t="s">
        <v>83</v>
      </c>
      <c r="M8" t="s">
        <v>84</v>
      </c>
      <c r="N8" s="1" t="s">
        <v>85</v>
      </c>
      <c r="O8" t="s">
        <v>20</v>
      </c>
      <c r="P8" s="2">
        <f ca="1">(TODAY()-Table1[[#This Row],[ee_dob]])/365.25</f>
        <v>42.02327173169062</v>
      </c>
      <c r="Q8" s="2">
        <f ca="1">(TODAY()-Table1[[#This Row],[ee_doh]])/365.25</f>
        <v>19.342915811088297</v>
      </c>
    </row>
    <row r="9" spans="1:17" x14ac:dyDescent="0.25">
      <c r="A9" t="s">
        <v>17</v>
      </c>
      <c r="B9" t="s">
        <v>89</v>
      </c>
      <c r="C9" t="s">
        <v>90</v>
      </c>
      <c r="D9" s="1">
        <v>14616</v>
      </c>
      <c r="E9" t="s">
        <v>72</v>
      </c>
      <c r="F9" s="1">
        <v>30805</v>
      </c>
      <c r="G9" t="s">
        <v>75</v>
      </c>
      <c r="H9" s="1" t="s">
        <v>91</v>
      </c>
      <c r="I9" t="s">
        <v>1</v>
      </c>
      <c r="J9" s="1"/>
      <c r="L9" s="1" t="s">
        <v>92</v>
      </c>
      <c r="M9" t="s">
        <v>93</v>
      </c>
      <c r="N9" s="1"/>
      <c r="O9" t="s">
        <v>20</v>
      </c>
      <c r="P9" s="2">
        <f ca="1">(TODAY()-Table1[[#This Row],[ee_dob]])/365.25</f>
        <v>79.186858316221759</v>
      </c>
      <c r="Q9" s="2">
        <f ca="1">(TODAY()-Table1[[#This Row],[ee_doh]])/365.25</f>
        <v>34.86379192334018</v>
      </c>
    </row>
    <row r="13" spans="1:17" x14ac:dyDescent="0.25">
      <c r="Q13">
        <f>SUMPRODUCT(--(Table1[ee_title]="M"))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BB956-5EEC-4443-A793-D051CFA5DDAF}">
  <sheetPr codeName="Sheet3"/>
  <dimension ref="A1"/>
  <sheetViews>
    <sheetView zoomScale="115" zoomScaleNormal="115" workbookViewId="0"/>
  </sheetViews>
  <sheetFormatPr defaultColWidth="2.8554687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A408B-4EF1-4465-A3D4-3C416418F44B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34E2-1A15-4DB6-8BE2-08283A534B37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CFA4-5DF2-4EE8-ABD1-929CF53B33F0}">
  <sheetPr codeName="Sheet4"/>
  <dimension ref="A3:E17"/>
  <sheetViews>
    <sheetView workbookViewId="0"/>
  </sheetViews>
  <sheetFormatPr defaultRowHeight="15" x14ac:dyDescent="0.25"/>
  <cols>
    <col min="1" max="1" width="20" bestFit="1" customWidth="1"/>
    <col min="2" max="2" width="16.140625" bestFit="1" customWidth="1"/>
    <col min="3" max="4" width="15" bestFit="1" customWidth="1"/>
    <col min="5" max="5" width="11.28515625" bestFit="1" customWidth="1"/>
  </cols>
  <sheetData>
    <row r="3" spans="1:5" x14ac:dyDescent="0.25">
      <c r="A3" s="3" t="s">
        <v>87</v>
      </c>
    </row>
    <row r="4" spans="1:5" x14ac:dyDescent="0.25">
      <c r="C4" t="s">
        <v>72</v>
      </c>
      <c r="D4" t="s">
        <v>61</v>
      </c>
      <c r="E4" t="s">
        <v>86</v>
      </c>
    </row>
    <row r="5" spans="1:5" x14ac:dyDescent="0.25">
      <c r="A5" t="s">
        <v>39</v>
      </c>
      <c r="C5" s="4"/>
      <c r="D5" s="4">
        <v>1</v>
      </c>
      <c r="E5" s="4">
        <v>1</v>
      </c>
    </row>
    <row r="6" spans="1:5" x14ac:dyDescent="0.25">
      <c r="B6" t="s">
        <v>0</v>
      </c>
      <c r="C6" s="4"/>
      <c r="D6" s="4">
        <v>1</v>
      </c>
      <c r="E6" s="4">
        <v>1</v>
      </c>
    </row>
    <row r="7" spans="1:5" x14ac:dyDescent="0.25">
      <c r="A7" t="s">
        <v>49</v>
      </c>
      <c r="C7" s="4">
        <v>1</v>
      </c>
      <c r="D7" s="4">
        <v>1</v>
      </c>
      <c r="E7" s="4">
        <v>2</v>
      </c>
    </row>
    <row r="8" spans="1:5" x14ac:dyDescent="0.25">
      <c r="B8" t="s">
        <v>76</v>
      </c>
      <c r="C8" s="4"/>
      <c r="D8" s="4">
        <v>1</v>
      </c>
      <c r="E8" s="4">
        <v>1</v>
      </c>
    </row>
    <row r="9" spans="1:5" x14ac:dyDescent="0.25">
      <c r="B9" t="s">
        <v>52</v>
      </c>
      <c r="C9" s="4">
        <v>1</v>
      </c>
      <c r="D9" s="4"/>
      <c r="E9" s="4">
        <v>1</v>
      </c>
    </row>
    <row r="10" spans="1:5" x14ac:dyDescent="0.25">
      <c r="A10" t="s">
        <v>17</v>
      </c>
      <c r="C10" s="4">
        <v>1</v>
      </c>
      <c r="D10" s="4"/>
      <c r="E10" s="4">
        <v>1</v>
      </c>
    </row>
    <row r="11" spans="1:5" x14ac:dyDescent="0.25">
      <c r="B11" t="s">
        <v>23</v>
      </c>
      <c r="C11" s="4">
        <v>1</v>
      </c>
      <c r="D11" s="4"/>
      <c r="E11" s="4">
        <v>1</v>
      </c>
    </row>
    <row r="12" spans="1:5" x14ac:dyDescent="0.25">
      <c r="A12" t="s">
        <v>21</v>
      </c>
      <c r="C12" s="4">
        <v>1</v>
      </c>
      <c r="D12" s="4">
        <v>1</v>
      </c>
      <c r="E12" s="4">
        <v>2</v>
      </c>
    </row>
    <row r="13" spans="1:5" x14ac:dyDescent="0.25">
      <c r="B13" t="s">
        <v>24</v>
      </c>
      <c r="C13" s="4">
        <v>1</v>
      </c>
      <c r="D13" s="4"/>
      <c r="E13" s="4">
        <v>1</v>
      </c>
    </row>
    <row r="14" spans="1:5" x14ac:dyDescent="0.25">
      <c r="B14" t="s">
        <v>81</v>
      </c>
      <c r="C14" s="4"/>
      <c r="D14" s="4">
        <v>1</v>
      </c>
      <c r="E14" s="4">
        <v>1</v>
      </c>
    </row>
    <row r="15" spans="1:5" x14ac:dyDescent="0.25">
      <c r="A15" t="s">
        <v>58</v>
      </c>
      <c r="C15" s="4"/>
      <c r="D15" s="4">
        <v>1</v>
      </c>
      <c r="E15" s="4">
        <v>1</v>
      </c>
    </row>
    <row r="16" spans="1:5" x14ac:dyDescent="0.25">
      <c r="B16" t="s">
        <v>63</v>
      </c>
      <c r="C16" s="4"/>
      <c r="D16" s="4">
        <v>1</v>
      </c>
      <c r="E16" s="4">
        <v>1</v>
      </c>
    </row>
    <row r="17" spans="1:5" x14ac:dyDescent="0.25">
      <c r="A17" t="s">
        <v>86</v>
      </c>
      <c r="C17" s="4">
        <v>3</v>
      </c>
      <c r="D17" s="4">
        <v>4</v>
      </c>
      <c r="E17" s="4"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1BAAD-E057-4FAB-9513-75464A942530}">
  <sheetPr codeName="Sheet1"/>
  <dimension ref="A1:F31"/>
  <sheetViews>
    <sheetView workbookViewId="0"/>
  </sheetViews>
  <sheetFormatPr defaultRowHeight="15" x14ac:dyDescent="0.25"/>
  <cols>
    <col min="1" max="1" width="14.42578125" bestFit="1" customWidth="1"/>
    <col min="2" max="2" width="7.5703125" bestFit="1" customWidth="1"/>
    <col min="3" max="3" width="6.7109375" bestFit="1" customWidth="1"/>
    <col min="4" max="4" width="10" bestFit="1" customWidth="1"/>
    <col min="5" max="5" width="22.85546875" bestFit="1" customWidth="1"/>
    <col min="6" max="6" width="15.7109375" bestFit="1" customWidth="1"/>
  </cols>
  <sheetData>
    <row r="1" spans="1:6" x14ac:dyDescent="0.25">
      <c r="A1" t="s">
        <v>137</v>
      </c>
      <c r="B1" t="s">
        <v>136</v>
      </c>
      <c r="C1" t="s">
        <v>135</v>
      </c>
      <c r="D1" t="s">
        <v>134</v>
      </c>
      <c r="E1" t="s">
        <v>133</v>
      </c>
      <c r="F1" t="s">
        <v>132</v>
      </c>
    </row>
    <row r="2" spans="1:6" x14ac:dyDescent="0.25">
      <c r="A2" t="s">
        <v>131</v>
      </c>
      <c r="B2" t="s">
        <v>100</v>
      </c>
      <c r="C2">
        <v>4</v>
      </c>
      <c r="D2" t="s">
        <v>94</v>
      </c>
      <c r="E2" t="str">
        <f>MID(Table13[[#This Row],[Name]],1,1)</f>
        <v>C</v>
      </c>
      <c r="F2">
        <f>LEN(Table13[[#This Row],[Name]])</f>
        <v>4</v>
      </c>
    </row>
    <row r="3" spans="1:6" x14ac:dyDescent="0.25">
      <c r="A3" t="s">
        <v>130</v>
      </c>
      <c r="B3" t="s">
        <v>98</v>
      </c>
      <c r="C3">
        <v>5</v>
      </c>
      <c r="D3" t="s">
        <v>97</v>
      </c>
      <c r="E3" t="str">
        <f>MID(Table13[[#This Row],[Name]],1,1)</f>
        <v>J</v>
      </c>
      <c r="F3">
        <f>LEN(Table13[[#This Row],[Name]])</f>
        <v>5</v>
      </c>
    </row>
    <row r="4" spans="1:6" x14ac:dyDescent="0.25">
      <c r="A4" t="s">
        <v>129</v>
      </c>
      <c r="B4" t="s">
        <v>95</v>
      </c>
      <c r="C4">
        <v>2</v>
      </c>
      <c r="D4" t="s">
        <v>94</v>
      </c>
      <c r="E4" t="str">
        <f>MID(Table13[[#This Row],[Name]],1,1)</f>
        <v>G</v>
      </c>
      <c r="F4">
        <f>LEN(Table13[[#This Row],[Name]])</f>
        <v>4</v>
      </c>
    </row>
    <row r="5" spans="1:6" x14ac:dyDescent="0.25">
      <c r="A5" t="s">
        <v>128</v>
      </c>
      <c r="B5" t="s">
        <v>109</v>
      </c>
      <c r="C5">
        <v>6</v>
      </c>
      <c r="D5" t="s">
        <v>97</v>
      </c>
      <c r="E5" t="str">
        <f>MID(Table13[[#This Row],[Name]],1,1)</f>
        <v>M</v>
      </c>
      <c r="F5">
        <f>LEN(Table13[[#This Row],[Name]])</f>
        <v>3</v>
      </c>
    </row>
    <row r="6" spans="1:6" x14ac:dyDescent="0.25">
      <c r="A6" t="s">
        <v>127</v>
      </c>
      <c r="B6" t="s">
        <v>98</v>
      </c>
      <c r="C6">
        <v>13</v>
      </c>
      <c r="D6" t="s">
        <v>94</v>
      </c>
      <c r="E6" t="str">
        <f>MID(Table13[[#This Row],[Name]],1,1)</f>
        <v>T</v>
      </c>
      <c r="F6">
        <f>LEN(Table13[[#This Row],[Name]])</f>
        <v>3</v>
      </c>
    </row>
    <row r="7" spans="1:6" x14ac:dyDescent="0.25">
      <c r="A7" t="s">
        <v>126</v>
      </c>
      <c r="B7" t="s">
        <v>100</v>
      </c>
      <c r="C7">
        <v>3</v>
      </c>
      <c r="D7" t="s">
        <v>97</v>
      </c>
      <c r="E7" t="str">
        <f>MID(Table13[[#This Row],[Name]],1,1)</f>
        <v>J</v>
      </c>
      <c r="F7">
        <f>LEN(Table13[[#This Row],[Name]])</f>
        <v>4</v>
      </c>
    </row>
    <row r="8" spans="1:6" x14ac:dyDescent="0.25">
      <c r="A8" t="s">
        <v>125</v>
      </c>
      <c r="B8" t="s">
        <v>105</v>
      </c>
      <c r="C8">
        <v>1</v>
      </c>
      <c r="D8" t="s">
        <v>94</v>
      </c>
      <c r="E8" t="str">
        <f>MID(Table13[[#This Row],[Name]],1,1)</f>
        <v>G</v>
      </c>
      <c r="F8">
        <f>LEN(Table13[[#This Row],[Name]])</f>
        <v>5</v>
      </c>
    </row>
    <row r="9" spans="1:6" x14ac:dyDescent="0.25">
      <c r="A9" t="s">
        <v>124</v>
      </c>
      <c r="B9" t="s">
        <v>103</v>
      </c>
      <c r="C9">
        <v>2</v>
      </c>
      <c r="D9" t="s">
        <v>97</v>
      </c>
      <c r="E9" t="str">
        <f>MID(Table13[[#This Row],[Name]],1,1)</f>
        <v>M</v>
      </c>
      <c r="F9">
        <f>LEN(Table13[[#This Row],[Name]])</f>
        <v>5</v>
      </c>
    </row>
    <row r="10" spans="1:6" x14ac:dyDescent="0.25">
      <c r="A10" t="s">
        <v>123</v>
      </c>
      <c r="B10" t="s">
        <v>100</v>
      </c>
      <c r="C10">
        <v>8</v>
      </c>
      <c r="D10" t="s">
        <v>97</v>
      </c>
      <c r="E10" t="str">
        <f>MID(Table13[[#This Row],[Name]],1,1)</f>
        <v>A</v>
      </c>
      <c r="F10">
        <f>LEN(Table13[[#This Row],[Name]])</f>
        <v>4</v>
      </c>
    </row>
    <row r="11" spans="1:6" x14ac:dyDescent="0.25">
      <c r="A11" t="s">
        <v>122</v>
      </c>
      <c r="B11" t="s">
        <v>100</v>
      </c>
      <c r="C11">
        <v>12</v>
      </c>
      <c r="D11" t="s">
        <v>94</v>
      </c>
      <c r="E11" t="str">
        <f>MID(Table13[[#This Row],[Name]],1,1)</f>
        <v>L</v>
      </c>
      <c r="F11">
        <f>LEN(Table13[[#This Row],[Name]])</f>
        <v>3</v>
      </c>
    </row>
    <row r="12" spans="1:6" x14ac:dyDescent="0.25">
      <c r="A12" t="s">
        <v>121</v>
      </c>
      <c r="B12" t="s">
        <v>98</v>
      </c>
      <c r="C12">
        <v>10</v>
      </c>
      <c r="D12" t="s">
        <v>97</v>
      </c>
      <c r="E12" t="str">
        <f>MID(Table13[[#This Row],[Name]],1,1)</f>
        <v>L</v>
      </c>
      <c r="F12">
        <f>LEN(Table13[[#This Row],[Name]])</f>
        <v>5</v>
      </c>
    </row>
    <row r="13" spans="1:6" x14ac:dyDescent="0.25">
      <c r="A13" t="s">
        <v>120</v>
      </c>
      <c r="B13" t="s">
        <v>95</v>
      </c>
      <c r="C13">
        <v>7</v>
      </c>
      <c r="D13" t="s">
        <v>94</v>
      </c>
      <c r="E13" t="str">
        <f>MID(Table13[[#This Row],[Name]],1,1)</f>
        <v>E</v>
      </c>
      <c r="F13">
        <f>LEN(Table13[[#This Row],[Name]])</f>
        <v>2</v>
      </c>
    </row>
    <row r="14" spans="1:6" x14ac:dyDescent="0.25">
      <c r="A14" t="s">
        <v>119</v>
      </c>
      <c r="B14" t="s">
        <v>109</v>
      </c>
      <c r="C14">
        <v>1</v>
      </c>
      <c r="D14" t="s">
        <v>97</v>
      </c>
      <c r="E14" t="str">
        <f>MID(Table13[[#This Row],[Name]],1,1)</f>
        <v>S</v>
      </c>
      <c r="F14">
        <f>LEN(Table13[[#This Row],[Name]])</f>
        <v>7</v>
      </c>
    </row>
    <row r="15" spans="1:6" x14ac:dyDescent="0.25">
      <c r="A15" t="s">
        <v>118</v>
      </c>
      <c r="B15" t="s">
        <v>98</v>
      </c>
      <c r="C15">
        <v>14</v>
      </c>
      <c r="D15" t="s">
        <v>94</v>
      </c>
      <c r="E15" t="str">
        <f>MID(Table13[[#This Row],[Name]],1,1)</f>
        <v>T</v>
      </c>
      <c r="F15">
        <f>LEN(Table13[[#This Row],[Name]])</f>
        <v>6</v>
      </c>
    </row>
    <row r="16" spans="1:6" x14ac:dyDescent="0.25">
      <c r="A16" t="s">
        <v>117</v>
      </c>
      <c r="B16" t="s">
        <v>100</v>
      </c>
      <c r="C16">
        <v>11</v>
      </c>
      <c r="D16" t="s">
        <v>97</v>
      </c>
      <c r="E16" t="str">
        <f>MID(Table13[[#This Row],[Name]],1,1)</f>
        <v>C</v>
      </c>
      <c r="F16">
        <f>LEN(Table13[[#This Row],[Name]])</f>
        <v>6</v>
      </c>
    </row>
    <row r="17" spans="1:6" x14ac:dyDescent="0.25">
      <c r="A17" t="s">
        <v>116</v>
      </c>
      <c r="B17" t="s">
        <v>105</v>
      </c>
      <c r="C17">
        <v>9</v>
      </c>
      <c r="D17" t="s">
        <v>94</v>
      </c>
      <c r="E17" t="str">
        <f>MID(Table13[[#This Row],[Name]],1,1)</f>
        <v>L</v>
      </c>
      <c r="F17">
        <f>LEN(Table13[[#This Row],[Name]])</f>
        <v>3</v>
      </c>
    </row>
    <row r="18" spans="1:6" x14ac:dyDescent="0.25">
      <c r="A18" t="s">
        <v>115</v>
      </c>
      <c r="B18" t="s">
        <v>103</v>
      </c>
      <c r="C18">
        <v>2</v>
      </c>
      <c r="D18" t="s">
        <v>97</v>
      </c>
      <c r="E18" t="str">
        <f>MID(Table13[[#This Row],[Name]],1,1)</f>
        <v>G</v>
      </c>
      <c r="F18">
        <f>LEN(Table13[[#This Row],[Name]])</f>
        <v>6</v>
      </c>
    </row>
    <row r="19" spans="1:6" x14ac:dyDescent="0.25">
      <c r="A19" t="s">
        <v>114</v>
      </c>
      <c r="B19" t="s">
        <v>100</v>
      </c>
      <c r="C19">
        <v>7</v>
      </c>
      <c r="D19" t="s">
        <v>97</v>
      </c>
      <c r="E19" t="str">
        <f>MID(Table13[[#This Row],[Name]],1,1)</f>
        <v>L</v>
      </c>
      <c r="F19">
        <f>LEN(Table13[[#This Row],[Name]])</f>
        <v>5</v>
      </c>
    </row>
    <row r="20" spans="1:6" x14ac:dyDescent="0.25">
      <c r="A20" t="s">
        <v>113</v>
      </c>
      <c r="B20" t="s">
        <v>100</v>
      </c>
      <c r="C20">
        <v>4</v>
      </c>
      <c r="D20" t="s">
        <v>94</v>
      </c>
      <c r="E20" t="str">
        <f>MID(Table13[[#This Row],[Name]],1,1)</f>
        <v>L</v>
      </c>
      <c r="F20">
        <f>LEN(Table13[[#This Row],[Name]])</f>
        <v>3</v>
      </c>
    </row>
    <row r="21" spans="1:6" x14ac:dyDescent="0.25">
      <c r="A21" t="s">
        <v>112</v>
      </c>
      <c r="B21" t="s">
        <v>98</v>
      </c>
      <c r="C21">
        <v>15</v>
      </c>
      <c r="D21" t="s">
        <v>94</v>
      </c>
      <c r="E21" t="str">
        <f>MID(Table13[[#This Row],[Name]],1,1)</f>
        <v>D</v>
      </c>
      <c r="F21">
        <f>LEN(Table13[[#This Row],[Name]])</f>
        <v>13</v>
      </c>
    </row>
    <row r="22" spans="1:6" x14ac:dyDescent="0.25">
      <c r="A22" t="s">
        <v>111</v>
      </c>
      <c r="B22" t="s">
        <v>95</v>
      </c>
      <c r="C22">
        <v>3</v>
      </c>
      <c r="D22" t="s">
        <v>94</v>
      </c>
      <c r="E22" t="str">
        <f>MID(Table13[[#This Row],[Name]],1,1)</f>
        <v>S</v>
      </c>
      <c r="F22">
        <f>LEN(Table13[[#This Row],[Name]])</f>
        <v>4</v>
      </c>
    </row>
    <row r="23" spans="1:6" x14ac:dyDescent="0.25">
      <c r="A23" t="s">
        <v>110</v>
      </c>
      <c r="B23" t="s">
        <v>109</v>
      </c>
      <c r="C23">
        <v>4</v>
      </c>
      <c r="D23" t="s">
        <v>94</v>
      </c>
      <c r="E23" t="str">
        <f>MID(Table13[[#This Row],[Name]],1,1)</f>
        <v>P</v>
      </c>
      <c r="F23">
        <f>LEN(Table13[[#This Row],[Name]])</f>
        <v>6</v>
      </c>
    </row>
    <row r="24" spans="1:6" x14ac:dyDescent="0.25">
      <c r="A24" t="s">
        <v>108</v>
      </c>
      <c r="B24" t="s">
        <v>98</v>
      </c>
      <c r="C24">
        <v>19</v>
      </c>
      <c r="D24" t="s">
        <v>94</v>
      </c>
      <c r="E24" t="str">
        <f>MID(Table13[[#This Row],[Name]],1,1)</f>
        <v>S</v>
      </c>
      <c r="F24">
        <f>LEN(Table13[[#This Row],[Name]])</f>
        <v>7</v>
      </c>
    </row>
    <row r="25" spans="1:6" x14ac:dyDescent="0.25">
      <c r="A25" t="s">
        <v>107</v>
      </c>
      <c r="B25" t="s">
        <v>100</v>
      </c>
      <c r="C25">
        <v>8</v>
      </c>
      <c r="D25" t="s">
        <v>94</v>
      </c>
      <c r="E25" t="str">
        <f>MID(Table13[[#This Row],[Name]],1,1)</f>
        <v>M</v>
      </c>
      <c r="F25">
        <f>LEN(Table13[[#This Row],[Name]])</f>
        <v>3</v>
      </c>
    </row>
    <row r="26" spans="1:6" x14ac:dyDescent="0.25">
      <c r="A26" t="s">
        <v>106</v>
      </c>
      <c r="B26" t="s">
        <v>105</v>
      </c>
      <c r="C26">
        <v>3</v>
      </c>
      <c r="D26" t="s">
        <v>97</v>
      </c>
      <c r="E26" t="str">
        <f>MID(Table13[[#This Row],[Name]],1,1)</f>
        <v>D</v>
      </c>
      <c r="F26">
        <f>LEN(Table13[[#This Row],[Name]])</f>
        <v>13</v>
      </c>
    </row>
    <row r="27" spans="1:6" x14ac:dyDescent="0.25">
      <c r="A27" t="s">
        <v>104</v>
      </c>
      <c r="B27" t="s">
        <v>103</v>
      </c>
      <c r="C27">
        <v>2</v>
      </c>
      <c r="D27" t="s">
        <v>97</v>
      </c>
      <c r="E27" t="str">
        <f>MID(Table13[[#This Row],[Name]],1,1)</f>
        <v>S</v>
      </c>
      <c r="F27">
        <f>LEN(Table13[[#This Row],[Name]])</f>
        <v>6</v>
      </c>
    </row>
    <row r="28" spans="1:6" x14ac:dyDescent="0.25">
      <c r="A28" t="s">
        <v>102</v>
      </c>
      <c r="B28" t="s">
        <v>100</v>
      </c>
      <c r="C28">
        <v>1</v>
      </c>
      <c r="D28" t="s">
        <v>97</v>
      </c>
      <c r="E28" t="str">
        <f>MID(Table13[[#This Row],[Name]],1,1)</f>
        <v>J</v>
      </c>
      <c r="F28">
        <f>LEN(Table13[[#This Row],[Name]])</f>
        <v>5</v>
      </c>
    </row>
    <row r="29" spans="1:6" x14ac:dyDescent="0.25">
      <c r="A29" t="s">
        <v>101</v>
      </c>
      <c r="B29" t="s">
        <v>100</v>
      </c>
      <c r="C29">
        <v>16</v>
      </c>
      <c r="D29" t="s">
        <v>94</v>
      </c>
      <c r="E29" t="str">
        <f>MID(Table13[[#This Row],[Name]],1,1)</f>
        <v>C</v>
      </c>
      <c r="F29">
        <f>LEN(Table13[[#This Row],[Name]])</f>
        <v>5</v>
      </c>
    </row>
    <row r="30" spans="1:6" x14ac:dyDescent="0.25">
      <c r="A30" t="s">
        <v>99</v>
      </c>
      <c r="B30" t="s">
        <v>98</v>
      </c>
      <c r="C30">
        <v>6</v>
      </c>
      <c r="D30" t="s">
        <v>97</v>
      </c>
      <c r="E30" t="str">
        <f>MID(Table13[[#This Row],[Name]],1,1)</f>
        <v>G</v>
      </c>
      <c r="F30">
        <f>LEN(Table13[[#This Row],[Name]])</f>
        <v>5</v>
      </c>
    </row>
    <row r="31" spans="1:6" x14ac:dyDescent="0.25">
      <c r="A31" t="s">
        <v>96</v>
      </c>
      <c r="B31" t="s">
        <v>95</v>
      </c>
      <c r="C31">
        <v>6</v>
      </c>
      <c r="D31" t="s">
        <v>94</v>
      </c>
      <c r="E31" t="str">
        <f>MID(Table13[[#This Row],[Name]],1,1)</f>
        <v>C</v>
      </c>
      <c r="F31">
        <f>LEN(Table13[[#This Row],[Name]])</f>
        <v>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DA4E-C19D-4489-8944-46409034F686}">
  <sheetPr codeName="Sheet2"/>
  <dimension ref="A2:C58"/>
  <sheetViews>
    <sheetView workbookViewId="0"/>
  </sheetViews>
  <sheetFormatPr defaultRowHeight="15" x14ac:dyDescent="0.25"/>
  <cols>
    <col min="1" max="1" width="13.140625" bestFit="1" customWidth="1"/>
    <col min="2" max="2" width="15.42578125" bestFit="1" customWidth="1"/>
    <col min="3" max="4" width="14.42578125" bestFit="1" customWidth="1"/>
  </cols>
  <sheetData>
    <row r="2" spans="1:3" x14ac:dyDescent="0.25">
      <c r="A2" s="3" t="s">
        <v>140</v>
      </c>
      <c r="B2" t="s">
        <v>139</v>
      </c>
      <c r="C2" t="s">
        <v>138</v>
      </c>
    </row>
    <row r="3" spans="1:3" x14ac:dyDescent="0.25">
      <c r="A3" s="6" t="s">
        <v>109</v>
      </c>
      <c r="B3" s="4">
        <v>3</v>
      </c>
      <c r="C3" s="5">
        <v>0.1</v>
      </c>
    </row>
    <row r="4" spans="1:3" x14ac:dyDescent="0.25">
      <c r="A4" s="6" t="s">
        <v>98</v>
      </c>
      <c r="B4" s="4">
        <v>7</v>
      </c>
      <c r="C4" s="5">
        <v>0.23333333333333334</v>
      </c>
    </row>
    <row r="5" spans="1:3" x14ac:dyDescent="0.25">
      <c r="A5" s="6" t="s">
        <v>100</v>
      </c>
      <c r="B5" s="4">
        <v>10</v>
      </c>
      <c r="C5" s="5">
        <v>0.33333333333333331</v>
      </c>
    </row>
    <row r="6" spans="1:3" x14ac:dyDescent="0.25">
      <c r="A6" s="6" t="s">
        <v>103</v>
      </c>
      <c r="B6" s="4">
        <v>3</v>
      </c>
      <c r="C6" s="5">
        <v>0.1</v>
      </c>
    </row>
    <row r="7" spans="1:3" x14ac:dyDescent="0.25">
      <c r="A7" s="6" t="s">
        <v>95</v>
      </c>
      <c r="B7" s="4">
        <v>4</v>
      </c>
      <c r="C7" s="5">
        <v>0.13333333333333333</v>
      </c>
    </row>
    <row r="8" spans="1:3" x14ac:dyDescent="0.25">
      <c r="A8" s="6" t="s">
        <v>105</v>
      </c>
      <c r="B8" s="4">
        <v>3</v>
      </c>
      <c r="C8" s="5">
        <v>0.1</v>
      </c>
    </row>
    <row r="9" spans="1:3" x14ac:dyDescent="0.25">
      <c r="A9" s="6" t="s">
        <v>86</v>
      </c>
      <c r="B9" s="4">
        <v>30</v>
      </c>
      <c r="C9" s="5">
        <v>1</v>
      </c>
    </row>
    <row r="11" spans="1:3" x14ac:dyDescent="0.25">
      <c r="A11" s="3" t="s">
        <v>140</v>
      </c>
      <c r="B11" t="s">
        <v>151</v>
      </c>
    </row>
    <row r="12" spans="1:3" x14ac:dyDescent="0.25">
      <c r="A12" s="6">
        <v>1</v>
      </c>
      <c r="B12" s="4">
        <v>3</v>
      </c>
    </row>
    <row r="13" spans="1:3" x14ac:dyDescent="0.25">
      <c r="A13" s="6">
        <v>2</v>
      </c>
      <c r="B13" s="4">
        <v>4</v>
      </c>
    </row>
    <row r="14" spans="1:3" x14ac:dyDescent="0.25">
      <c r="A14" s="6">
        <v>3</v>
      </c>
      <c r="B14" s="4">
        <v>3</v>
      </c>
    </row>
    <row r="15" spans="1:3" x14ac:dyDescent="0.25">
      <c r="A15" s="6">
        <v>4</v>
      </c>
      <c r="B15" s="4">
        <v>3</v>
      </c>
    </row>
    <row r="16" spans="1:3" x14ac:dyDescent="0.25">
      <c r="A16" s="6">
        <v>5</v>
      </c>
      <c r="B16" s="4">
        <v>1</v>
      </c>
    </row>
    <row r="17" spans="1:3" x14ac:dyDescent="0.25">
      <c r="A17" s="6">
        <v>6</v>
      </c>
      <c r="B17" s="4">
        <v>3</v>
      </c>
    </row>
    <row r="18" spans="1:3" x14ac:dyDescent="0.25">
      <c r="A18" s="6">
        <v>7</v>
      </c>
      <c r="B18" s="4">
        <v>2</v>
      </c>
    </row>
    <row r="19" spans="1:3" x14ac:dyDescent="0.25">
      <c r="A19" s="6">
        <v>8</v>
      </c>
      <c r="B19" s="4">
        <v>2</v>
      </c>
    </row>
    <row r="20" spans="1:3" x14ac:dyDescent="0.25">
      <c r="A20" s="6">
        <v>9</v>
      </c>
      <c r="B20" s="4">
        <v>1</v>
      </c>
    </row>
    <row r="21" spans="1:3" x14ac:dyDescent="0.25">
      <c r="A21" s="6">
        <v>10</v>
      </c>
      <c r="B21" s="4">
        <v>1</v>
      </c>
    </row>
    <row r="22" spans="1:3" x14ac:dyDescent="0.25">
      <c r="A22" s="6">
        <v>11</v>
      </c>
      <c r="B22" s="4">
        <v>1</v>
      </c>
    </row>
    <row r="23" spans="1:3" x14ac:dyDescent="0.25">
      <c r="A23" s="6">
        <v>12</v>
      </c>
      <c r="B23" s="4">
        <v>1</v>
      </c>
    </row>
    <row r="24" spans="1:3" x14ac:dyDescent="0.25">
      <c r="A24" s="6">
        <v>13</v>
      </c>
      <c r="B24" s="4">
        <v>1</v>
      </c>
    </row>
    <row r="25" spans="1:3" x14ac:dyDescent="0.25">
      <c r="A25" s="6">
        <v>14</v>
      </c>
      <c r="B25" s="4">
        <v>1</v>
      </c>
    </row>
    <row r="26" spans="1:3" x14ac:dyDescent="0.25">
      <c r="A26" s="6">
        <v>15</v>
      </c>
      <c r="B26" s="4">
        <v>1</v>
      </c>
    </row>
    <row r="27" spans="1:3" x14ac:dyDescent="0.25">
      <c r="A27" s="6">
        <v>16</v>
      </c>
      <c r="B27" s="4">
        <v>1</v>
      </c>
    </row>
    <row r="28" spans="1:3" x14ac:dyDescent="0.25">
      <c r="A28" s="6">
        <v>19</v>
      </c>
      <c r="B28" s="4">
        <v>1</v>
      </c>
    </row>
    <row r="29" spans="1:3" x14ac:dyDescent="0.25">
      <c r="A29" s="6" t="s">
        <v>86</v>
      </c>
      <c r="B29" s="4">
        <v>30</v>
      </c>
    </row>
    <row r="31" spans="1:3" x14ac:dyDescent="0.25">
      <c r="A31" s="3" t="s">
        <v>140</v>
      </c>
      <c r="B31" t="s">
        <v>138</v>
      </c>
      <c r="C31" t="s">
        <v>139</v>
      </c>
    </row>
    <row r="32" spans="1:3" x14ac:dyDescent="0.25">
      <c r="A32" s="6" t="s">
        <v>97</v>
      </c>
      <c r="B32" s="5">
        <v>0.46666666666666667</v>
      </c>
      <c r="C32" s="4">
        <v>14</v>
      </c>
    </row>
    <row r="33" spans="1:3" x14ac:dyDescent="0.25">
      <c r="A33" s="6" t="s">
        <v>94</v>
      </c>
      <c r="B33" s="5">
        <v>0.53333333333333333</v>
      </c>
      <c r="C33" s="4">
        <v>16</v>
      </c>
    </row>
    <row r="34" spans="1:3" x14ac:dyDescent="0.25">
      <c r="A34" s="6" t="s">
        <v>86</v>
      </c>
      <c r="B34" s="5">
        <v>1</v>
      </c>
      <c r="C34" s="4">
        <v>30</v>
      </c>
    </row>
    <row r="36" spans="1:3" x14ac:dyDescent="0.25">
      <c r="A36" s="3" t="s">
        <v>140</v>
      </c>
      <c r="B36" t="s">
        <v>139</v>
      </c>
      <c r="C36" t="s">
        <v>138</v>
      </c>
    </row>
    <row r="37" spans="1:3" x14ac:dyDescent="0.25">
      <c r="A37" s="6" t="s">
        <v>150</v>
      </c>
      <c r="B37" s="4">
        <v>5</v>
      </c>
      <c r="C37" s="5">
        <v>0.16666666666666666</v>
      </c>
    </row>
    <row r="38" spans="1:3" x14ac:dyDescent="0.25">
      <c r="A38" s="6" t="s">
        <v>149</v>
      </c>
      <c r="B38" s="4">
        <v>4</v>
      </c>
      <c r="C38" s="5">
        <v>0.13333333333333333</v>
      </c>
    </row>
    <row r="39" spans="1:3" x14ac:dyDescent="0.25">
      <c r="A39" s="6" t="s">
        <v>148</v>
      </c>
      <c r="B39" s="4">
        <v>4</v>
      </c>
      <c r="C39" s="5">
        <v>0.13333333333333333</v>
      </c>
    </row>
    <row r="40" spans="1:3" x14ac:dyDescent="0.25">
      <c r="A40" s="6" t="s">
        <v>147</v>
      </c>
      <c r="B40" s="4">
        <v>4</v>
      </c>
      <c r="C40" s="5">
        <v>0.13333333333333333</v>
      </c>
    </row>
    <row r="41" spans="1:3" x14ac:dyDescent="0.25">
      <c r="A41" s="6" t="s">
        <v>94</v>
      </c>
      <c r="B41" s="4">
        <v>3</v>
      </c>
      <c r="C41" s="5">
        <v>0.1</v>
      </c>
    </row>
    <row r="42" spans="1:3" x14ac:dyDescent="0.25">
      <c r="A42" s="6" t="s">
        <v>146</v>
      </c>
      <c r="B42" s="4">
        <v>3</v>
      </c>
      <c r="C42" s="5">
        <v>0.1</v>
      </c>
    </row>
    <row r="43" spans="1:3" x14ac:dyDescent="0.25">
      <c r="A43" s="6" t="s">
        <v>145</v>
      </c>
      <c r="B43" s="4">
        <v>2</v>
      </c>
      <c r="C43" s="5">
        <v>6.6666666666666666E-2</v>
      </c>
    </row>
    <row r="44" spans="1:3" x14ac:dyDescent="0.25">
      <c r="A44" s="6" t="s">
        <v>144</v>
      </c>
      <c r="B44" s="4">
        <v>2</v>
      </c>
      <c r="C44" s="5">
        <v>6.6666666666666666E-2</v>
      </c>
    </row>
    <row r="45" spans="1:3" x14ac:dyDescent="0.25">
      <c r="A45" s="6" t="s">
        <v>143</v>
      </c>
      <c r="B45" s="4">
        <v>1</v>
      </c>
      <c r="C45" s="5">
        <v>3.3333333333333333E-2</v>
      </c>
    </row>
    <row r="46" spans="1:3" x14ac:dyDescent="0.25">
      <c r="A46" s="6" t="s">
        <v>142</v>
      </c>
      <c r="B46" s="4">
        <v>1</v>
      </c>
      <c r="C46" s="5">
        <v>3.3333333333333333E-2</v>
      </c>
    </row>
    <row r="47" spans="1:3" x14ac:dyDescent="0.25">
      <c r="A47" s="6" t="s">
        <v>141</v>
      </c>
      <c r="B47" s="4">
        <v>1</v>
      </c>
      <c r="C47" s="5">
        <v>3.3333333333333333E-2</v>
      </c>
    </row>
    <row r="48" spans="1:3" x14ac:dyDescent="0.25">
      <c r="A48" s="6" t="s">
        <v>86</v>
      </c>
      <c r="B48" s="4">
        <v>30</v>
      </c>
      <c r="C48" s="5">
        <v>1</v>
      </c>
    </row>
    <row r="50" spans="1:3" x14ac:dyDescent="0.25">
      <c r="A50" s="3" t="s">
        <v>140</v>
      </c>
      <c r="B50" t="s">
        <v>139</v>
      </c>
      <c r="C50" t="s">
        <v>138</v>
      </c>
    </row>
    <row r="51" spans="1:3" x14ac:dyDescent="0.25">
      <c r="A51" s="6">
        <v>2</v>
      </c>
      <c r="B51" s="4">
        <v>1</v>
      </c>
      <c r="C51" s="5">
        <v>3.3333333333333333E-2</v>
      </c>
    </row>
    <row r="52" spans="1:3" x14ac:dyDescent="0.25">
      <c r="A52" s="6">
        <v>3</v>
      </c>
      <c r="B52" s="4">
        <v>6</v>
      </c>
      <c r="C52" s="5">
        <v>0.2</v>
      </c>
    </row>
    <row r="53" spans="1:3" x14ac:dyDescent="0.25">
      <c r="A53" s="6">
        <v>4</v>
      </c>
      <c r="B53" s="4">
        <v>5</v>
      </c>
      <c r="C53" s="5">
        <v>0.16666666666666666</v>
      </c>
    </row>
    <row r="54" spans="1:3" x14ac:dyDescent="0.25">
      <c r="A54" s="6">
        <v>5</v>
      </c>
      <c r="B54" s="4">
        <v>9</v>
      </c>
      <c r="C54" s="5">
        <v>0.3</v>
      </c>
    </row>
    <row r="55" spans="1:3" x14ac:dyDescent="0.25">
      <c r="A55" s="6">
        <v>6</v>
      </c>
      <c r="B55" s="4">
        <v>5</v>
      </c>
      <c r="C55" s="5">
        <v>0.16666666666666666</v>
      </c>
    </row>
    <row r="56" spans="1:3" x14ac:dyDescent="0.25">
      <c r="A56" s="6">
        <v>7</v>
      </c>
      <c r="B56" s="4">
        <v>2</v>
      </c>
      <c r="C56" s="5">
        <v>6.6666666666666666E-2</v>
      </c>
    </row>
    <row r="57" spans="1:3" x14ac:dyDescent="0.25">
      <c r="A57" s="6">
        <v>13</v>
      </c>
      <c r="B57" s="4">
        <v>2</v>
      </c>
      <c r="C57" s="5">
        <v>6.6666666666666666E-2</v>
      </c>
    </row>
    <row r="58" spans="1:3" x14ac:dyDescent="0.25">
      <c r="A58" s="6" t="s">
        <v>86</v>
      </c>
      <c r="B58" s="4">
        <v>30</v>
      </c>
      <c r="C58" s="5">
        <v>1</v>
      </c>
    </row>
  </sheetData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Pet_Data</vt:lpstr>
      <vt:lpstr>Pet_Charts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Jacqueline Cochran</dc:creator>
  <cp:lastModifiedBy>Jacqueline Cochran</cp:lastModifiedBy>
  <dcterms:created xsi:type="dcterms:W3CDTF">2018-12-28T14:35:24Z</dcterms:created>
  <dcterms:modified xsi:type="dcterms:W3CDTF">2019-03-15T16:53:03Z</dcterms:modified>
</cp:coreProperties>
</file>